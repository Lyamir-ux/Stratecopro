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C:\Users\A5706120\Downloads\"/>
    </mc:Choice>
  </mc:AlternateContent>
  <xr:revisionPtr revIDLastSave="41" documentId="8_{F79FF2D9-1B1E-4963-ABB6-61AA4433BD44}" xr6:coauthVersionLast="47" xr6:coauthVersionMax="47" xr10:uidLastSave="{93AFC16C-BA99-4FC4-878D-636621E289D3}"/>
  <bookViews>
    <workbookView xWindow="-108" yWindow="-108" windowWidth="23256" windowHeight="12576" firstSheet="1" activeTab="1" xr2:uid="{5FBB6D18-B466-4577-8E64-5AB836CB6F2A}"/>
  </bookViews>
  <sheets>
    <sheet name="DEMANDE DE PRÊT" sheetId="4" r:id="rId1"/>
    <sheet name="LISTE COPROPRIETAIRES ADHERENTS" sheetId="2" r:id="rId2"/>
    <sheet name="PLAN DE FINANCEMENT" sheetId="3" r:id="rId3"/>
  </sheets>
  <externalReferences>
    <externalReference r:id="rId4"/>
    <externalReference r:id="rId5"/>
    <externalReference r:id="rId6"/>
    <externalReference r:id="rId7"/>
  </externalReferences>
  <definedNames>
    <definedName name="_xlnm._FilterDatabase" localSheetId="1" hidden="1">'LISTE COPROPRIETAIRES ADHERENTS'!$A$8:$EH$514</definedName>
    <definedName name="DECI_MT_APPORT">[1]SAISIE!$L$46</definedName>
    <definedName name="_xlnm.Print_Titles" localSheetId="1">'LISTE COPROPRIETAIRES ADHERENTS'!$2:$8</definedName>
    <definedName name="L_ASSISTANTE">[2]TABLES!$E$3:$E$28</definedName>
    <definedName name="L_CNI_SYNDIC_MRZ">[2]TABLES!$BA$3:$BA$28</definedName>
    <definedName name="L_COMMERCIAL">[2]TABLES!$B$3:$B$28</definedName>
    <definedName name="L_COMPTE_SEPARE">[2]TABLES!$AL$3:$AL$28</definedName>
    <definedName name="L_COMPTES_COPRO">[2]TABLES!$AO$3:$AO$28</definedName>
    <definedName name="L_CONTROLE_SAISIE_DUREE">[3]TABLES!$V$3:$V$10</definedName>
    <definedName name="L_GARANT_MRZ">[2]TABLES!$AF$3:$AF$28</definedName>
    <definedName name="L_SIGNATURE_PV">[2]TABLES!$AX$3:$AX$28</definedName>
    <definedName name="L_TYPE_PRET">[2]TABLES!$O$3:$O$28</definedName>
    <definedName name="L_TYPE_SYNDIC">[2]TABLES!$AC$3:$AC$28</definedName>
    <definedName name="L_TYPE_TRAVAUX">[2]TABLES!$AI$3:$AI$28</definedName>
    <definedName name="o">[1]SAISIE!$L$26</definedName>
    <definedName name="P_TOT_MT_C100">[2]PRETS!$C$216</definedName>
    <definedName name="P_TOT_MT_EPC">[2]PRETS!$E$216</definedName>
    <definedName name="P_TOT_MT_PU">[2]PRETS!$D$216</definedName>
    <definedName name="P_TOT_MT_SUB">[2]PRETS!$F$216</definedName>
    <definedName name="P_TOT_NB_COPROS">[2]PRETS!$B$216</definedName>
    <definedName name="R_CNI_SYNDIC_MRZ">[2]TABLES!$BA$31</definedName>
    <definedName name="R_COMMERCIAL">[2]TABLES!$B$31</definedName>
    <definedName name="R_COMPTE_SEPARE">[2]TABLES!$AL$31</definedName>
    <definedName name="R_COMPTES_COPRO">[2]TABLES!$AO$31</definedName>
    <definedName name="R_GARANT_MRZ">[2]TABLES!$AF$31</definedName>
    <definedName name="R_SIGNATURE_PV">[2]TABLES!$AX$31</definedName>
    <definedName name="R_TYPE_PRET">[2]TABLES!$O$31</definedName>
    <definedName name="R_TYPE_SYNDIC">[2]TABLES!$AC$31</definedName>
    <definedName name="R_TYPE_TRAVAUX">[2]TABLES!$AI$31</definedName>
    <definedName name="S_ADRESSE_SYNDIC">[1]SAISIE!$I$22</definedName>
    <definedName name="S_CPOSTAL_SYNDIC">[1]SAISIE!$I$23</definedName>
    <definedName name="S_DATE_EXPI_SYNDIC">[1]SAISIE!$M$36</definedName>
    <definedName name="S_DATE_VOTE_TRAVAUX">[1]SAISIE!$J$33</definedName>
    <definedName name="S_FIBEN_SYNDIC">[1]SAISIE!$L$28</definedName>
    <definedName name="S_MT_GARFIN">'[4]FICHE ANALYSE'!#REF!</definedName>
    <definedName name="S_MT_TRAVAUX">'[4]FICHE ANALYSE'!#REF!</definedName>
    <definedName name="S_NB_LOTS">'[4]FICHE ANALYSE'!#REF!</definedName>
    <definedName name="S_NOM_SYNDIC">[1]SAISIE!$I$21</definedName>
    <definedName name="S_SIRET">[1]SAISIE!$I$27</definedName>
    <definedName name="_xlnm.Print_Area" localSheetId="0">'DEMANDE DE PRÊT'!$B$1:$K$58</definedName>
    <definedName name="_xlnm.Print_Area" localSheetId="1">'LISTE COPROPRIETAIRES ADHERENTS'!$B$1:$P$514</definedName>
    <definedName name="_xlnm.Print_Area" localSheetId="2">'PLAN DE FINANCEMENT'!$A$1:$L$36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3" l="1"/>
  <c r="G30" i="3"/>
  <c r="H19" i="3"/>
  <c r="H31" i="3" s="1"/>
  <c r="G19" i="3"/>
  <c r="G31" i="3" s="1"/>
  <c r="F30" i="3" l="1"/>
  <c r="F509" i="2"/>
  <c r="H509" i="2"/>
  <c r="I509" i="2"/>
  <c r="J509" i="2"/>
  <c r="K509" i="2"/>
  <c r="D3" i="2"/>
  <c r="K23" i="4" l="1"/>
  <c r="E509" i="2"/>
  <c r="G257" i="2"/>
  <c r="L257" i="2" s="1"/>
  <c r="G258" i="2"/>
  <c r="L258" i="2" s="1"/>
  <c r="G259" i="2"/>
  <c r="L259" i="2" s="1"/>
  <c r="G260" i="2"/>
  <c r="L260" i="2" s="1"/>
  <c r="G261" i="2"/>
  <c r="L261" i="2" s="1"/>
  <c r="G262" i="2"/>
  <c r="L262" i="2" s="1"/>
  <c r="G263" i="2"/>
  <c r="L263" i="2" s="1"/>
  <c r="G264" i="2"/>
  <c r="L264" i="2" s="1"/>
  <c r="G265" i="2"/>
  <c r="L265" i="2" s="1"/>
  <c r="G266" i="2"/>
  <c r="L266" i="2" s="1"/>
  <c r="G267" i="2"/>
  <c r="L267" i="2" s="1"/>
  <c r="G268" i="2"/>
  <c r="L268" i="2" s="1"/>
  <c r="G269" i="2"/>
  <c r="L269" i="2" s="1"/>
  <c r="G270" i="2"/>
  <c r="L270" i="2" s="1"/>
  <c r="G271" i="2"/>
  <c r="L271" i="2" s="1"/>
  <c r="G272" i="2"/>
  <c r="L272" i="2" s="1"/>
  <c r="G273" i="2"/>
  <c r="L273" i="2" s="1"/>
  <c r="G274" i="2"/>
  <c r="L274" i="2" s="1"/>
  <c r="G275" i="2"/>
  <c r="L275" i="2" s="1"/>
  <c r="G276" i="2"/>
  <c r="L276" i="2" s="1"/>
  <c r="G277" i="2"/>
  <c r="L277" i="2" s="1"/>
  <c r="G278" i="2"/>
  <c r="L278" i="2" s="1"/>
  <c r="G279" i="2"/>
  <c r="L279" i="2" s="1"/>
  <c r="G280" i="2"/>
  <c r="L280" i="2" s="1"/>
  <c r="G281" i="2"/>
  <c r="L281" i="2" s="1"/>
  <c r="G282" i="2"/>
  <c r="L282" i="2" s="1"/>
  <c r="G283" i="2"/>
  <c r="L283" i="2" s="1"/>
  <c r="G284" i="2"/>
  <c r="L284" i="2" s="1"/>
  <c r="G285" i="2"/>
  <c r="L285" i="2" s="1"/>
  <c r="G286" i="2"/>
  <c r="L286" i="2" s="1"/>
  <c r="G287" i="2"/>
  <c r="L287" i="2" s="1"/>
  <c r="G288" i="2"/>
  <c r="L288" i="2" s="1"/>
  <c r="G289" i="2"/>
  <c r="L289" i="2" s="1"/>
  <c r="G290" i="2"/>
  <c r="L290" i="2" s="1"/>
  <c r="G291" i="2"/>
  <c r="L291" i="2" s="1"/>
  <c r="G292" i="2"/>
  <c r="L292" i="2" s="1"/>
  <c r="G293" i="2"/>
  <c r="L293" i="2" s="1"/>
  <c r="G294" i="2"/>
  <c r="L294" i="2" s="1"/>
  <c r="G295" i="2"/>
  <c r="L295" i="2" s="1"/>
  <c r="G296" i="2"/>
  <c r="L296" i="2" s="1"/>
  <c r="G297" i="2"/>
  <c r="L297" i="2" s="1"/>
  <c r="G298" i="2"/>
  <c r="L298" i="2" s="1"/>
  <c r="G299" i="2"/>
  <c r="L299" i="2" s="1"/>
  <c r="G300" i="2"/>
  <c r="L300" i="2" s="1"/>
  <c r="G301" i="2"/>
  <c r="L301" i="2" s="1"/>
  <c r="G302" i="2"/>
  <c r="L302" i="2" s="1"/>
  <c r="G303" i="2"/>
  <c r="L303" i="2" s="1"/>
  <c r="G304" i="2"/>
  <c r="L304" i="2" s="1"/>
  <c r="G305" i="2"/>
  <c r="L305" i="2" s="1"/>
  <c r="G306" i="2"/>
  <c r="L306" i="2" s="1"/>
  <c r="G307" i="2"/>
  <c r="L307" i="2" s="1"/>
  <c r="G308" i="2"/>
  <c r="L308" i="2" s="1"/>
  <c r="G309" i="2"/>
  <c r="L309" i="2" s="1"/>
  <c r="G310" i="2"/>
  <c r="L310" i="2" s="1"/>
  <c r="G311" i="2"/>
  <c r="L311" i="2" s="1"/>
  <c r="G312" i="2"/>
  <c r="L312" i="2" s="1"/>
  <c r="G313" i="2"/>
  <c r="L313" i="2" s="1"/>
  <c r="G314" i="2"/>
  <c r="L314" i="2" s="1"/>
  <c r="G315" i="2"/>
  <c r="L315" i="2" s="1"/>
  <c r="G316" i="2"/>
  <c r="L316" i="2" s="1"/>
  <c r="G317" i="2"/>
  <c r="L317" i="2" s="1"/>
  <c r="G318" i="2"/>
  <c r="L318" i="2" s="1"/>
  <c r="G319" i="2"/>
  <c r="L319" i="2" s="1"/>
  <c r="G320" i="2"/>
  <c r="L320" i="2" s="1"/>
  <c r="G321" i="2"/>
  <c r="L321" i="2" s="1"/>
  <c r="G322" i="2"/>
  <c r="L322" i="2" s="1"/>
  <c r="G323" i="2"/>
  <c r="L323" i="2" s="1"/>
  <c r="G324" i="2"/>
  <c r="L324" i="2" s="1"/>
  <c r="G325" i="2"/>
  <c r="L325" i="2" s="1"/>
  <c r="G326" i="2"/>
  <c r="L326" i="2" s="1"/>
  <c r="G327" i="2"/>
  <c r="L327" i="2" s="1"/>
  <c r="G328" i="2"/>
  <c r="L328" i="2" s="1"/>
  <c r="G329" i="2"/>
  <c r="L329" i="2" s="1"/>
  <c r="G330" i="2"/>
  <c r="L330" i="2" s="1"/>
  <c r="G331" i="2"/>
  <c r="L331" i="2" s="1"/>
  <c r="G332" i="2"/>
  <c r="L332" i="2" s="1"/>
  <c r="G333" i="2"/>
  <c r="L333" i="2" s="1"/>
  <c r="G334" i="2"/>
  <c r="L334" i="2" s="1"/>
  <c r="G335" i="2"/>
  <c r="L335" i="2" s="1"/>
  <c r="G336" i="2"/>
  <c r="L336" i="2" s="1"/>
  <c r="G337" i="2"/>
  <c r="L337" i="2" s="1"/>
  <c r="G338" i="2"/>
  <c r="L338" i="2" s="1"/>
  <c r="G339" i="2"/>
  <c r="L339" i="2" s="1"/>
  <c r="G340" i="2"/>
  <c r="L340" i="2" s="1"/>
  <c r="G341" i="2"/>
  <c r="L341" i="2" s="1"/>
  <c r="G342" i="2"/>
  <c r="L342" i="2" s="1"/>
  <c r="G343" i="2"/>
  <c r="L343" i="2" s="1"/>
  <c r="G344" i="2"/>
  <c r="L344" i="2" s="1"/>
  <c r="G345" i="2"/>
  <c r="L345" i="2" s="1"/>
  <c r="G346" i="2"/>
  <c r="L346" i="2" s="1"/>
  <c r="G347" i="2"/>
  <c r="L347" i="2" s="1"/>
  <c r="G348" i="2"/>
  <c r="L348" i="2" s="1"/>
  <c r="G349" i="2"/>
  <c r="L349" i="2" s="1"/>
  <c r="G350" i="2"/>
  <c r="L350" i="2" s="1"/>
  <c r="G351" i="2"/>
  <c r="L351" i="2" s="1"/>
  <c r="G352" i="2"/>
  <c r="L352" i="2" s="1"/>
  <c r="G353" i="2"/>
  <c r="L353" i="2" s="1"/>
  <c r="G354" i="2"/>
  <c r="L354" i="2" s="1"/>
  <c r="G355" i="2"/>
  <c r="L355" i="2" s="1"/>
  <c r="G356" i="2"/>
  <c r="L356" i="2" s="1"/>
  <c r="G357" i="2"/>
  <c r="L357" i="2" s="1"/>
  <c r="G358" i="2"/>
  <c r="L358" i="2" s="1"/>
  <c r="G359" i="2"/>
  <c r="L359" i="2" s="1"/>
  <c r="G360" i="2"/>
  <c r="L360" i="2" s="1"/>
  <c r="G361" i="2"/>
  <c r="L361" i="2" s="1"/>
  <c r="G362" i="2"/>
  <c r="L362" i="2" s="1"/>
  <c r="G363" i="2"/>
  <c r="L363" i="2" s="1"/>
  <c r="G364" i="2"/>
  <c r="L364" i="2" s="1"/>
  <c r="G365" i="2"/>
  <c r="L365" i="2" s="1"/>
  <c r="G366" i="2"/>
  <c r="L366" i="2" s="1"/>
  <c r="G367" i="2"/>
  <c r="L367" i="2" s="1"/>
  <c r="G368" i="2"/>
  <c r="L368" i="2" s="1"/>
  <c r="G369" i="2"/>
  <c r="L369" i="2" s="1"/>
  <c r="G370" i="2"/>
  <c r="L370" i="2" s="1"/>
  <c r="G371" i="2"/>
  <c r="L371" i="2" s="1"/>
  <c r="G372" i="2"/>
  <c r="L372" i="2" s="1"/>
  <c r="G373" i="2"/>
  <c r="L373" i="2" s="1"/>
  <c r="G374" i="2"/>
  <c r="L374" i="2" s="1"/>
  <c r="G375" i="2"/>
  <c r="L375" i="2" s="1"/>
  <c r="G376" i="2"/>
  <c r="L376" i="2" s="1"/>
  <c r="G377" i="2"/>
  <c r="L377" i="2" s="1"/>
  <c r="G378" i="2"/>
  <c r="L378" i="2" s="1"/>
  <c r="G379" i="2"/>
  <c r="L379" i="2" s="1"/>
  <c r="G380" i="2"/>
  <c r="L380" i="2" s="1"/>
  <c r="G381" i="2"/>
  <c r="L381" i="2" s="1"/>
  <c r="G382" i="2"/>
  <c r="L382" i="2" s="1"/>
  <c r="G383" i="2"/>
  <c r="L383" i="2" s="1"/>
  <c r="G384" i="2"/>
  <c r="L384" i="2" s="1"/>
  <c r="G385" i="2"/>
  <c r="L385" i="2" s="1"/>
  <c r="G386" i="2"/>
  <c r="L386" i="2" s="1"/>
  <c r="G387" i="2"/>
  <c r="L387" i="2" s="1"/>
  <c r="G388" i="2"/>
  <c r="L388" i="2" s="1"/>
  <c r="G389" i="2"/>
  <c r="L389" i="2" s="1"/>
  <c r="G390" i="2"/>
  <c r="L390" i="2" s="1"/>
  <c r="G391" i="2"/>
  <c r="L391" i="2" s="1"/>
  <c r="G392" i="2"/>
  <c r="L392" i="2" s="1"/>
  <c r="G393" i="2"/>
  <c r="L393" i="2" s="1"/>
  <c r="G394" i="2"/>
  <c r="L394" i="2" s="1"/>
  <c r="G395" i="2"/>
  <c r="L395" i="2" s="1"/>
  <c r="G396" i="2"/>
  <c r="L396" i="2" s="1"/>
  <c r="G397" i="2"/>
  <c r="L397" i="2" s="1"/>
  <c r="G398" i="2"/>
  <c r="L398" i="2" s="1"/>
  <c r="G399" i="2"/>
  <c r="L399" i="2" s="1"/>
  <c r="G400" i="2"/>
  <c r="L400" i="2" s="1"/>
  <c r="G401" i="2"/>
  <c r="L401" i="2" s="1"/>
  <c r="G402" i="2"/>
  <c r="L402" i="2" s="1"/>
  <c r="G403" i="2"/>
  <c r="L403" i="2" s="1"/>
  <c r="G404" i="2"/>
  <c r="L404" i="2" s="1"/>
  <c r="G405" i="2"/>
  <c r="L405" i="2" s="1"/>
  <c r="G406" i="2"/>
  <c r="L406" i="2" s="1"/>
  <c r="G407" i="2"/>
  <c r="L407" i="2" s="1"/>
  <c r="G408" i="2"/>
  <c r="L408" i="2" s="1"/>
  <c r="G409" i="2"/>
  <c r="L409" i="2" s="1"/>
  <c r="G410" i="2"/>
  <c r="L410" i="2" s="1"/>
  <c r="G411" i="2"/>
  <c r="L411" i="2" s="1"/>
  <c r="G412" i="2"/>
  <c r="L412" i="2" s="1"/>
  <c r="G413" i="2"/>
  <c r="L413" i="2" s="1"/>
  <c r="G414" i="2"/>
  <c r="L414" i="2" s="1"/>
  <c r="G415" i="2"/>
  <c r="L415" i="2" s="1"/>
  <c r="G416" i="2"/>
  <c r="L416" i="2" s="1"/>
  <c r="G417" i="2"/>
  <c r="L417" i="2" s="1"/>
  <c r="G418" i="2"/>
  <c r="L418" i="2" s="1"/>
  <c r="G419" i="2"/>
  <c r="L419" i="2" s="1"/>
  <c r="G420" i="2"/>
  <c r="L420" i="2" s="1"/>
  <c r="G421" i="2"/>
  <c r="L421" i="2" s="1"/>
  <c r="G422" i="2"/>
  <c r="L422" i="2" s="1"/>
  <c r="G423" i="2"/>
  <c r="L423" i="2" s="1"/>
  <c r="G424" i="2"/>
  <c r="L424" i="2" s="1"/>
  <c r="G425" i="2"/>
  <c r="L425" i="2" s="1"/>
  <c r="G426" i="2"/>
  <c r="L426" i="2" s="1"/>
  <c r="G427" i="2"/>
  <c r="L427" i="2" s="1"/>
  <c r="G428" i="2"/>
  <c r="L428" i="2" s="1"/>
  <c r="G429" i="2"/>
  <c r="L429" i="2" s="1"/>
  <c r="G430" i="2"/>
  <c r="L430" i="2" s="1"/>
  <c r="G431" i="2"/>
  <c r="L431" i="2" s="1"/>
  <c r="G432" i="2"/>
  <c r="L432" i="2" s="1"/>
  <c r="G433" i="2"/>
  <c r="L433" i="2" s="1"/>
  <c r="G434" i="2"/>
  <c r="L434" i="2" s="1"/>
  <c r="G435" i="2"/>
  <c r="L435" i="2" s="1"/>
  <c r="G436" i="2"/>
  <c r="L436" i="2" s="1"/>
  <c r="G437" i="2"/>
  <c r="L437" i="2" s="1"/>
  <c r="G438" i="2"/>
  <c r="L438" i="2" s="1"/>
  <c r="G439" i="2"/>
  <c r="L439" i="2" s="1"/>
  <c r="G440" i="2"/>
  <c r="L440" i="2" s="1"/>
  <c r="G441" i="2"/>
  <c r="L441" i="2" s="1"/>
  <c r="G442" i="2"/>
  <c r="L442" i="2" s="1"/>
  <c r="G443" i="2"/>
  <c r="L443" i="2" s="1"/>
  <c r="G444" i="2"/>
  <c r="L444" i="2" s="1"/>
  <c r="G445" i="2"/>
  <c r="L445" i="2" s="1"/>
  <c r="G446" i="2"/>
  <c r="L446" i="2" s="1"/>
  <c r="G447" i="2"/>
  <c r="L447" i="2" s="1"/>
  <c r="G448" i="2"/>
  <c r="L448" i="2" s="1"/>
  <c r="G449" i="2"/>
  <c r="L449" i="2" s="1"/>
  <c r="G450" i="2"/>
  <c r="L450" i="2" s="1"/>
  <c r="G451" i="2"/>
  <c r="L451" i="2" s="1"/>
  <c r="G452" i="2"/>
  <c r="L452" i="2" s="1"/>
  <c r="G453" i="2"/>
  <c r="L453" i="2" s="1"/>
  <c r="G454" i="2"/>
  <c r="L454" i="2" s="1"/>
  <c r="G455" i="2"/>
  <c r="L455" i="2" s="1"/>
  <c r="G456" i="2"/>
  <c r="L456" i="2" s="1"/>
  <c r="G457" i="2"/>
  <c r="L457" i="2" s="1"/>
  <c r="G458" i="2"/>
  <c r="L458" i="2" s="1"/>
  <c r="G459" i="2"/>
  <c r="L459" i="2" s="1"/>
  <c r="G460" i="2"/>
  <c r="L460" i="2" s="1"/>
  <c r="G461" i="2"/>
  <c r="L461" i="2" s="1"/>
  <c r="G462" i="2"/>
  <c r="L462" i="2" s="1"/>
  <c r="G463" i="2"/>
  <c r="L463" i="2" s="1"/>
  <c r="G464" i="2"/>
  <c r="L464" i="2" s="1"/>
  <c r="G465" i="2"/>
  <c r="L465" i="2" s="1"/>
  <c r="G466" i="2"/>
  <c r="L466" i="2" s="1"/>
  <c r="G467" i="2"/>
  <c r="L467" i="2" s="1"/>
  <c r="G468" i="2"/>
  <c r="L468" i="2" s="1"/>
  <c r="G469" i="2"/>
  <c r="L469" i="2" s="1"/>
  <c r="G470" i="2"/>
  <c r="L470" i="2" s="1"/>
  <c r="G471" i="2"/>
  <c r="L471" i="2" s="1"/>
  <c r="G472" i="2"/>
  <c r="L472" i="2" s="1"/>
  <c r="G473" i="2"/>
  <c r="L473" i="2" s="1"/>
  <c r="G474" i="2"/>
  <c r="L474" i="2" s="1"/>
  <c r="G475" i="2"/>
  <c r="L475" i="2" s="1"/>
  <c r="G476" i="2"/>
  <c r="L476" i="2" s="1"/>
  <c r="G477" i="2"/>
  <c r="L477" i="2" s="1"/>
  <c r="G478" i="2"/>
  <c r="L478" i="2" s="1"/>
  <c r="G479" i="2"/>
  <c r="L479" i="2" s="1"/>
  <c r="G480" i="2"/>
  <c r="L480" i="2" s="1"/>
  <c r="G481" i="2"/>
  <c r="L481" i="2" s="1"/>
  <c r="G482" i="2"/>
  <c r="L482" i="2" s="1"/>
  <c r="G483" i="2"/>
  <c r="L483" i="2" s="1"/>
  <c r="G484" i="2"/>
  <c r="L484" i="2" s="1"/>
  <c r="G485" i="2"/>
  <c r="L485" i="2" s="1"/>
  <c r="G486" i="2"/>
  <c r="L486" i="2" s="1"/>
  <c r="G487" i="2"/>
  <c r="L487" i="2" s="1"/>
  <c r="G488" i="2"/>
  <c r="L488" i="2" s="1"/>
  <c r="G489" i="2"/>
  <c r="L489" i="2" s="1"/>
  <c r="G490" i="2"/>
  <c r="L490" i="2" s="1"/>
  <c r="G491" i="2"/>
  <c r="L491" i="2" s="1"/>
  <c r="G492" i="2"/>
  <c r="L492" i="2" s="1"/>
  <c r="G493" i="2"/>
  <c r="L493" i="2" s="1"/>
  <c r="G494" i="2"/>
  <c r="L494" i="2" s="1"/>
  <c r="G495" i="2"/>
  <c r="L495" i="2" s="1"/>
  <c r="G496" i="2"/>
  <c r="L496" i="2" s="1"/>
  <c r="G497" i="2"/>
  <c r="L497" i="2" s="1"/>
  <c r="G498" i="2"/>
  <c r="L498" i="2" s="1"/>
  <c r="G499" i="2"/>
  <c r="L499" i="2" s="1"/>
  <c r="G500" i="2"/>
  <c r="L500" i="2" s="1"/>
  <c r="G501" i="2"/>
  <c r="L501" i="2" s="1"/>
  <c r="G502" i="2"/>
  <c r="L502" i="2" s="1"/>
  <c r="G503" i="2"/>
  <c r="L503" i="2" s="1"/>
  <c r="G504" i="2"/>
  <c r="L504" i="2" s="1"/>
  <c r="G505" i="2"/>
  <c r="L505" i="2" s="1"/>
  <c r="G506" i="2"/>
  <c r="L506" i="2" s="1"/>
  <c r="G507" i="2"/>
  <c r="L507" i="2" s="1"/>
  <c r="G508" i="2"/>
  <c r="L508" i="2" s="1"/>
  <c r="K19" i="3"/>
  <c r="B2" i="3"/>
  <c r="C19" i="3"/>
  <c r="F19" i="3"/>
  <c r="C30" i="3"/>
  <c r="G9" i="2"/>
  <c r="G10" i="2"/>
  <c r="L10" i="2" s="1"/>
  <c r="G11" i="2"/>
  <c r="L11" i="2" s="1"/>
  <c r="G12" i="2"/>
  <c r="L12" i="2" s="1"/>
  <c r="G13" i="2"/>
  <c r="L13" i="2" s="1"/>
  <c r="G14" i="2"/>
  <c r="L14" i="2" s="1"/>
  <c r="G15" i="2"/>
  <c r="L15" i="2" s="1"/>
  <c r="G16" i="2"/>
  <c r="L16" i="2" s="1"/>
  <c r="G17" i="2"/>
  <c r="L17" i="2" s="1"/>
  <c r="G18" i="2"/>
  <c r="L18" i="2" s="1"/>
  <c r="G19" i="2"/>
  <c r="L19" i="2" s="1"/>
  <c r="G20" i="2"/>
  <c r="L20" i="2" s="1"/>
  <c r="G21" i="2"/>
  <c r="L21" i="2" s="1"/>
  <c r="G22" i="2"/>
  <c r="L22" i="2" s="1"/>
  <c r="G23" i="2"/>
  <c r="L23" i="2" s="1"/>
  <c r="G24" i="2"/>
  <c r="L24" i="2" s="1"/>
  <c r="G25" i="2"/>
  <c r="L25" i="2" s="1"/>
  <c r="G26" i="2"/>
  <c r="L26" i="2" s="1"/>
  <c r="G27" i="2"/>
  <c r="L27" i="2" s="1"/>
  <c r="G28" i="2"/>
  <c r="L28" i="2" s="1"/>
  <c r="G29" i="2"/>
  <c r="L29" i="2" s="1"/>
  <c r="G30" i="2"/>
  <c r="L30" i="2" s="1"/>
  <c r="G31" i="2"/>
  <c r="L31" i="2" s="1"/>
  <c r="G32" i="2"/>
  <c r="L32" i="2" s="1"/>
  <c r="G33" i="2"/>
  <c r="L33" i="2" s="1"/>
  <c r="G34" i="2"/>
  <c r="L34" i="2" s="1"/>
  <c r="G35" i="2"/>
  <c r="L35" i="2" s="1"/>
  <c r="G36" i="2"/>
  <c r="L36" i="2" s="1"/>
  <c r="G37" i="2"/>
  <c r="L37" i="2" s="1"/>
  <c r="G38" i="2"/>
  <c r="L38" i="2" s="1"/>
  <c r="G39" i="2"/>
  <c r="L39" i="2" s="1"/>
  <c r="G40" i="2"/>
  <c r="L40" i="2" s="1"/>
  <c r="G41" i="2"/>
  <c r="L41" i="2" s="1"/>
  <c r="G42" i="2"/>
  <c r="L42" i="2" s="1"/>
  <c r="G43" i="2"/>
  <c r="L43" i="2" s="1"/>
  <c r="G44" i="2"/>
  <c r="L44" i="2" s="1"/>
  <c r="G45" i="2"/>
  <c r="L45" i="2" s="1"/>
  <c r="G46" i="2"/>
  <c r="L46" i="2" s="1"/>
  <c r="G47" i="2"/>
  <c r="L47" i="2" s="1"/>
  <c r="G48" i="2"/>
  <c r="L48" i="2" s="1"/>
  <c r="G49" i="2"/>
  <c r="L49" i="2" s="1"/>
  <c r="G50" i="2"/>
  <c r="L50" i="2" s="1"/>
  <c r="G51" i="2"/>
  <c r="L51" i="2" s="1"/>
  <c r="G52" i="2"/>
  <c r="L52" i="2" s="1"/>
  <c r="G53" i="2"/>
  <c r="L53" i="2" s="1"/>
  <c r="G54" i="2"/>
  <c r="L54" i="2" s="1"/>
  <c r="G55" i="2"/>
  <c r="L55" i="2" s="1"/>
  <c r="G56" i="2"/>
  <c r="L56" i="2" s="1"/>
  <c r="G57" i="2"/>
  <c r="L57" i="2" s="1"/>
  <c r="G58" i="2"/>
  <c r="L58" i="2" s="1"/>
  <c r="G59" i="2"/>
  <c r="L59" i="2" s="1"/>
  <c r="G60" i="2"/>
  <c r="L60" i="2" s="1"/>
  <c r="G61" i="2"/>
  <c r="L61" i="2" s="1"/>
  <c r="G62" i="2"/>
  <c r="L62" i="2" s="1"/>
  <c r="G63" i="2"/>
  <c r="L63" i="2" s="1"/>
  <c r="G64" i="2"/>
  <c r="L64" i="2" s="1"/>
  <c r="G65" i="2"/>
  <c r="L65" i="2" s="1"/>
  <c r="G66" i="2"/>
  <c r="L66" i="2" s="1"/>
  <c r="G67" i="2"/>
  <c r="L67" i="2" s="1"/>
  <c r="G68" i="2"/>
  <c r="L68" i="2" s="1"/>
  <c r="G69" i="2"/>
  <c r="L69" i="2" s="1"/>
  <c r="G70" i="2"/>
  <c r="L70" i="2" s="1"/>
  <c r="G71" i="2"/>
  <c r="L71" i="2" s="1"/>
  <c r="G72" i="2"/>
  <c r="L72" i="2" s="1"/>
  <c r="G73" i="2"/>
  <c r="L73" i="2" s="1"/>
  <c r="G74" i="2"/>
  <c r="L74" i="2" s="1"/>
  <c r="G75" i="2"/>
  <c r="L75" i="2" s="1"/>
  <c r="G76" i="2"/>
  <c r="L76" i="2" s="1"/>
  <c r="G77" i="2"/>
  <c r="L77" i="2" s="1"/>
  <c r="G78" i="2"/>
  <c r="L78" i="2" s="1"/>
  <c r="G79" i="2"/>
  <c r="L79" i="2" s="1"/>
  <c r="G80" i="2"/>
  <c r="L80" i="2" s="1"/>
  <c r="G81" i="2"/>
  <c r="L81" i="2" s="1"/>
  <c r="G82" i="2"/>
  <c r="L82" i="2" s="1"/>
  <c r="G83" i="2"/>
  <c r="L83" i="2" s="1"/>
  <c r="G84" i="2"/>
  <c r="L84" i="2" s="1"/>
  <c r="G85" i="2"/>
  <c r="L85" i="2" s="1"/>
  <c r="G86" i="2"/>
  <c r="L86" i="2" s="1"/>
  <c r="G87" i="2"/>
  <c r="L87" i="2" s="1"/>
  <c r="G88" i="2"/>
  <c r="L88" i="2" s="1"/>
  <c r="G89" i="2"/>
  <c r="L89" i="2" s="1"/>
  <c r="G90" i="2"/>
  <c r="L90" i="2" s="1"/>
  <c r="G91" i="2"/>
  <c r="L91" i="2" s="1"/>
  <c r="G92" i="2"/>
  <c r="L92" i="2" s="1"/>
  <c r="G93" i="2"/>
  <c r="L93" i="2" s="1"/>
  <c r="G94" i="2"/>
  <c r="L94" i="2" s="1"/>
  <c r="G95" i="2"/>
  <c r="L95" i="2" s="1"/>
  <c r="G96" i="2"/>
  <c r="L96" i="2" s="1"/>
  <c r="G97" i="2"/>
  <c r="L97" i="2" s="1"/>
  <c r="G98" i="2"/>
  <c r="L98" i="2" s="1"/>
  <c r="G99" i="2"/>
  <c r="L99" i="2" s="1"/>
  <c r="G100" i="2"/>
  <c r="L100" i="2" s="1"/>
  <c r="G101" i="2"/>
  <c r="L101" i="2" s="1"/>
  <c r="G102" i="2"/>
  <c r="L102" i="2" s="1"/>
  <c r="G103" i="2"/>
  <c r="L103" i="2" s="1"/>
  <c r="G104" i="2"/>
  <c r="L104" i="2" s="1"/>
  <c r="G105" i="2"/>
  <c r="L105" i="2" s="1"/>
  <c r="G106" i="2"/>
  <c r="L106" i="2" s="1"/>
  <c r="G107" i="2"/>
  <c r="L107" i="2" s="1"/>
  <c r="G108" i="2"/>
  <c r="L108" i="2" s="1"/>
  <c r="G109" i="2"/>
  <c r="L109" i="2" s="1"/>
  <c r="G110" i="2"/>
  <c r="L110" i="2" s="1"/>
  <c r="G111" i="2"/>
  <c r="L111" i="2" s="1"/>
  <c r="G112" i="2"/>
  <c r="L112" i="2" s="1"/>
  <c r="G113" i="2"/>
  <c r="L113" i="2" s="1"/>
  <c r="G114" i="2"/>
  <c r="L114" i="2" s="1"/>
  <c r="G115" i="2"/>
  <c r="L115" i="2" s="1"/>
  <c r="G116" i="2"/>
  <c r="L116" i="2" s="1"/>
  <c r="G117" i="2"/>
  <c r="L117" i="2" s="1"/>
  <c r="G118" i="2"/>
  <c r="L118" i="2" s="1"/>
  <c r="G119" i="2"/>
  <c r="L119" i="2" s="1"/>
  <c r="G120" i="2"/>
  <c r="L120" i="2" s="1"/>
  <c r="G121" i="2"/>
  <c r="L121" i="2" s="1"/>
  <c r="G122" i="2"/>
  <c r="L122" i="2" s="1"/>
  <c r="G123" i="2"/>
  <c r="L123" i="2" s="1"/>
  <c r="G124" i="2"/>
  <c r="L124" i="2" s="1"/>
  <c r="G125" i="2"/>
  <c r="L125" i="2" s="1"/>
  <c r="G126" i="2"/>
  <c r="L126" i="2" s="1"/>
  <c r="G127" i="2"/>
  <c r="L127" i="2" s="1"/>
  <c r="G128" i="2"/>
  <c r="L128" i="2" s="1"/>
  <c r="G129" i="2"/>
  <c r="L129" i="2" s="1"/>
  <c r="G130" i="2"/>
  <c r="L130" i="2" s="1"/>
  <c r="G131" i="2"/>
  <c r="L131" i="2" s="1"/>
  <c r="G132" i="2"/>
  <c r="L132" i="2" s="1"/>
  <c r="G133" i="2"/>
  <c r="L133" i="2" s="1"/>
  <c r="G134" i="2"/>
  <c r="L134" i="2" s="1"/>
  <c r="G135" i="2"/>
  <c r="L135" i="2" s="1"/>
  <c r="G136" i="2"/>
  <c r="L136" i="2" s="1"/>
  <c r="G137" i="2"/>
  <c r="L137" i="2" s="1"/>
  <c r="G138" i="2"/>
  <c r="L138" i="2" s="1"/>
  <c r="G139" i="2"/>
  <c r="L139" i="2" s="1"/>
  <c r="G140" i="2"/>
  <c r="L140" i="2" s="1"/>
  <c r="G141" i="2"/>
  <c r="L141" i="2" s="1"/>
  <c r="G142" i="2"/>
  <c r="L142" i="2" s="1"/>
  <c r="G143" i="2"/>
  <c r="L143" i="2" s="1"/>
  <c r="G144" i="2"/>
  <c r="L144" i="2" s="1"/>
  <c r="G145" i="2"/>
  <c r="L145" i="2" s="1"/>
  <c r="G146" i="2"/>
  <c r="L146" i="2" s="1"/>
  <c r="G147" i="2"/>
  <c r="L147" i="2" s="1"/>
  <c r="G148" i="2"/>
  <c r="L148" i="2" s="1"/>
  <c r="G149" i="2"/>
  <c r="L149" i="2" s="1"/>
  <c r="G150" i="2"/>
  <c r="L150" i="2" s="1"/>
  <c r="G151" i="2"/>
  <c r="L151" i="2" s="1"/>
  <c r="G152" i="2"/>
  <c r="L152" i="2" s="1"/>
  <c r="G153" i="2"/>
  <c r="L153" i="2" s="1"/>
  <c r="G154" i="2"/>
  <c r="L154" i="2" s="1"/>
  <c r="G155" i="2"/>
  <c r="L155" i="2" s="1"/>
  <c r="G156" i="2"/>
  <c r="L156" i="2" s="1"/>
  <c r="G157" i="2"/>
  <c r="L157" i="2" s="1"/>
  <c r="G158" i="2"/>
  <c r="L158" i="2" s="1"/>
  <c r="G159" i="2"/>
  <c r="L159" i="2" s="1"/>
  <c r="G160" i="2"/>
  <c r="L160" i="2" s="1"/>
  <c r="G161" i="2"/>
  <c r="L161" i="2" s="1"/>
  <c r="G162" i="2"/>
  <c r="L162" i="2" s="1"/>
  <c r="G163" i="2"/>
  <c r="L163" i="2" s="1"/>
  <c r="G164" i="2"/>
  <c r="L164" i="2" s="1"/>
  <c r="G165" i="2"/>
  <c r="L165" i="2" s="1"/>
  <c r="G166" i="2"/>
  <c r="L166" i="2" s="1"/>
  <c r="G167" i="2"/>
  <c r="L167" i="2" s="1"/>
  <c r="G168" i="2"/>
  <c r="L168" i="2" s="1"/>
  <c r="G169" i="2"/>
  <c r="L169" i="2" s="1"/>
  <c r="G170" i="2"/>
  <c r="L170" i="2" s="1"/>
  <c r="G171" i="2"/>
  <c r="L171" i="2" s="1"/>
  <c r="G172" i="2"/>
  <c r="L172" i="2" s="1"/>
  <c r="G173" i="2"/>
  <c r="L173" i="2" s="1"/>
  <c r="G174" i="2"/>
  <c r="L174" i="2" s="1"/>
  <c r="G175" i="2"/>
  <c r="L175" i="2" s="1"/>
  <c r="G176" i="2"/>
  <c r="L176" i="2" s="1"/>
  <c r="G177" i="2"/>
  <c r="L177" i="2" s="1"/>
  <c r="G178" i="2"/>
  <c r="L178" i="2" s="1"/>
  <c r="G179" i="2"/>
  <c r="L179" i="2" s="1"/>
  <c r="G180" i="2"/>
  <c r="L180" i="2" s="1"/>
  <c r="G181" i="2"/>
  <c r="L181" i="2" s="1"/>
  <c r="G182" i="2"/>
  <c r="L182" i="2" s="1"/>
  <c r="G183" i="2"/>
  <c r="L183" i="2" s="1"/>
  <c r="G184" i="2"/>
  <c r="L184" i="2" s="1"/>
  <c r="G185" i="2"/>
  <c r="L185" i="2" s="1"/>
  <c r="G186" i="2"/>
  <c r="L186" i="2" s="1"/>
  <c r="G187" i="2"/>
  <c r="L187" i="2" s="1"/>
  <c r="G188" i="2"/>
  <c r="L188" i="2" s="1"/>
  <c r="G189" i="2"/>
  <c r="L189" i="2" s="1"/>
  <c r="G190" i="2"/>
  <c r="L190" i="2" s="1"/>
  <c r="G191" i="2"/>
  <c r="L191" i="2" s="1"/>
  <c r="G192" i="2"/>
  <c r="L192" i="2" s="1"/>
  <c r="G193" i="2"/>
  <c r="L193" i="2" s="1"/>
  <c r="G194" i="2"/>
  <c r="L194" i="2" s="1"/>
  <c r="G195" i="2"/>
  <c r="L195" i="2" s="1"/>
  <c r="G196" i="2"/>
  <c r="L196" i="2" s="1"/>
  <c r="G197" i="2"/>
  <c r="L197" i="2" s="1"/>
  <c r="G198" i="2"/>
  <c r="L198" i="2" s="1"/>
  <c r="G199" i="2"/>
  <c r="L199" i="2" s="1"/>
  <c r="G200" i="2"/>
  <c r="L200" i="2" s="1"/>
  <c r="G201" i="2"/>
  <c r="L201" i="2" s="1"/>
  <c r="G202" i="2"/>
  <c r="L202" i="2" s="1"/>
  <c r="G203" i="2"/>
  <c r="L203" i="2" s="1"/>
  <c r="G204" i="2"/>
  <c r="L204" i="2" s="1"/>
  <c r="G205" i="2"/>
  <c r="L205" i="2" s="1"/>
  <c r="G206" i="2"/>
  <c r="L206" i="2" s="1"/>
  <c r="G207" i="2"/>
  <c r="L207" i="2" s="1"/>
  <c r="G208" i="2"/>
  <c r="L208" i="2" s="1"/>
  <c r="G209" i="2"/>
  <c r="L209" i="2" s="1"/>
  <c r="G210" i="2"/>
  <c r="L210" i="2" s="1"/>
  <c r="G211" i="2"/>
  <c r="L211" i="2" s="1"/>
  <c r="G212" i="2"/>
  <c r="L212" i="2" s="1"/>
  <c r="G213" i="2"/>
  <c r="L213" i="2" s="1"/>
  <c r="G214" i="2"/>
  <c r="L214" i="2" s="1"/>
  <c r="G215" i="2"/>
  <c r="L215" i="2" s="1"/>
  <c r="G216" i="2"/>
  <c r="L216" i="2" s="1"/>
  <c r="G217" i="2"/>
  <c r="L217" i="2" s="1"/>
  <c r="G218" i="2"/>
  <c r="L218" i="2" s="1"/>
  <c r="G219" i="2"/>
  <c r="L219" i="2" s="1"/>
  <c r="G220" i="2"/>
  <c r="L220" i="2" s="1"/>
  <c r="G221" i="2"/>
  <c r="L221" i="2" s="1"/>
  <c r="G222" i="2"/>
  <c r="L222" i="2" s="1"/>
  <c r="G223" i="2"/>
  <c r="L223" i="2" s="1"/>
  <c r="G224" i="2"/>
  <c r="L224" i="2" s="1"/>
  <c r="G225" i="2"/>
  <c r="L225" i="2" s="1"/>
  <c r="G226" i="2"/>
  <c r="L226" i="2" s="1"/>
  <c r="G227" i="2"/>
  <c r="L227" i="2" s="1"/>
  <c r="G228" i="2"/>
  <c r="L228" i="2" s="1"/>
  <c r="G229" i="2"/>
  <c r="L229" i="2" s="1"/>
  <c r="G230" i="2"/>
  <c r="L230" i="2" s="1"/>
  <c r="G231" i="2"/>
  <c r="L231" i="2" s="1"/>
  <c r="G232" i="2"/>
  <c r="L232" i="2" s="1"/>
  <c r="G233" i="2"/>
  <c r="L233" i="2" s="1"/>
  <c r="G234" i="2"/>
  <c r="L234" i="2" s="1"/>
  <c r="G235" i="2"/>
  <c r="L235" i="2" s="1"/>
  <c r="G236" i="2"/>
  <c r="L236" i="2" s="1"/>
  <c r="G237" i="2"/>
  <c r="L237" i="2" s="1"/>
  <c r="G238" i="2"/>
  <c r="L238" i="2" s="1"/>
  <c r="G239" i="2"/>
  <c r="L239" i="2" s="1"/>
  <c r="G240" i="2"/>
  <c r="L240" i="2" s="1"/>
  <c r="G241" i="2"/>
  <c r="L241" i="2" s="1"/>
  <c r="G242" i="2"/>
  <c r="L242" i="2" s="1"/>
  <c r="G243" i="2"/>
  <c r="L243" i="2" s="1"/>
  <c r="G244" i="2"/>
  <c r="L244" i="2" s="1"/>
  <c r="G245" i="2"/>
  <c r="L245" i="2" s="1"/>
  <c r="G246" i="2"/>
  <c r="L246" i="2" s="1"/>
  <c r="G247" i="2"/>
  <c r="L247" i="2" s="1"/>
  <c r="G248" i="2"/>
  <c r="L248" i="2" s="1"/>
  <c r="G249" i="2"/>
  <c r="L249" i="2" s="1"/>
  <c r="G250" i="2"/>
  <c r="L250" i="2" s="1"/>
  <c r="G251" i="2"/>
  <c r="L251" i="2" s="1"/>
  <c r="G252" i="2"/>
  <c r="L252" i="2" s="1"/>
  <c r="G253" i="2"/>
  <c r="L253" i="2" s="1"/>
  <c r="G254" i="2"/>
  <c r="L254" i="2" s="1"/>
  <c r="G255" i="2"/>
  <c r="L255" i="2" s="1"/>
  <c r="G256" i="2"/>
  <c r="L256" i="2" s="1"/>
  <c r="N509" i="2"/>
  <c r="K23" i="3" l="1"/>
  <c r="E56" i="4"/>
  <c r="L9" i="2"/>
  <c r="G509" i="2"/>
  <c r="C31" i="3"/>
  <c r="F31" i="3"/>
  <c r="L509" i="2" l="1"/>
  <c r="M509" i="2"/>
  <c r="E51" i="4"/>
  <c r="K22" i="3" l="1"/>
  <c r="K21" i="3" s="1"/>
  <c r="K30" i="3" s="1"/>
  <c r="K31" i="3" s="1"/>
  <c r="E55" i="4"/>
  <c r="E53" i="4"/>
  <c r="E54" i="4" l="1"/>
</calcChain>
</file>

<file path=xl/sharedStrings.xml><?xml version="1.0" encoding="utf-8"?>
<sst xmlns="http://schemas.openxmlformats.org/spreadsheetml/2006/main" count="176" uniqueCount="168">
  <si>
    <t>Cadres à renseigner</t>
  </si>
  <si>
    <t>(à compléter par le syndic)</t>
  </si>
  <si>
    <t>DEMANDE DE PRÊT COLLECTIF EN COPROPRIETE</t>
  </si>
  <si>
    <t>Financement de travaux par un syndicat des copropriétaires*</t>
  </si>
  <si>
    <t>SYNDICAT DES COPROPRIETAIRES</t>
  </si>
  <si>
    <t>Désignation du syndicat des copropriétaires</t>
  </si>
  <si>
    <t>Adresse de l'immeuble</t>
  </si>
  <si>
    <t>Code postal</t>
  </si>
  <si>
    <t xml:space="preserve">Ville : </t>
  </si>
  <si>
    <r>
      <rPr>
        <sz val="11"/>
        <color theme="1"/>
        <rFont val="Calibri"/>
        <family val="2"/>
        <scheme val="minor"/>
      </rPr>
      <t>SIREN :</t>
    </r>
    <r>
      <rPr>
        <sz val="10"/>
        <color theme="1"/>
        <rFont val="Calibri"/>
        <family val="2"/>
        <scheme val="minor"/>
      </rPr>
      <t xml:space="preserve">
</t>
    </r>
    <r>
      <rPr>
        <i/>
        <sz val="10"/>
        <color theme="1"/>
        <rFont val="Calibri"/>
        <family val="2"/>
        <scheme val="minor"/>
      </rPr>
      <t>(si le syndicat des copropriétaires est immatriculé)</t>
    </r>
  </si>
  <si>
    <r>
      <rPr>
        <sz val="11"/>
        <color theme="1"/>
        <rFont val="Calibri"/>
        <family val="2"/>
        <scheme val="minor"/>
      </rPr>
      <t xml:space="preserve">Numéro d'immatriculation ANAH </t>
    </r>
    <r>
      <rPr>
        <sz val="10"/>
        <color theme="1"/>
        <rFont val="Calibri"/>
        <family val="2"/>
        <scheme val="minor"/>
      </rPr>
      <t xml:space="preserve">:
</t>
    </r>
    <r>
      <rPr>
        <i/>
        <sz val="10"/>
        <color theme="1"/>
        <rFont val="Calibri"/>
        <family val="2"/>
        <scheme val="minor"/>
      </rPr>
      <t>(pour un syndicat des copropriétaires avec des logements)</t>
    </r>
  </si>
  <si>
    <r>
      <rPr>
        <sz val="8"/>
        <rFont val="Calibri"/>
        <family val="2"/>
        <scheme val="minor"/>
      </rPr>
      <t xml:space="preserve">à vérifier sur </t>
    </r>
    <r>
      <rPr>
        <u/>
        <sz val="8"/>
        <color theme="10"/>
        <rFont val="Calibri"/>
        <family val="2"/>
        <scheme val="minor"/>
      </rPr>
      <t xml:space="preserve">
www.sirene.fr</t>
    </r>
  </si>
  <si>
    <r>
      <rPr>
        <sz val="8"/>
        <rFont val="Calibri"/>
        <family val="2"/>
        <scheme val="minor"/>
      </rPr>
      <t xml:space="preserve">à vérifier sur </t>
    </r>
    <r>
      <rPr>
        <u/>
        <sz val="8"/>
        <color theme="10"/>
        <rFont val="Calibri"/>
        <family val="2"/>
        <scheme val="minor"/>
      </rPr>
      <t xml:space="preserve">
www.registre-coproprietes.gouv.fr</t>
    </r>
  </si>
  <si>
    <t>*soumis à la loi n°65-557 du 10 juillet 1965 fixant le statut de la copropriété des immeubles bâtis</t>
  </si>
  <si>
    <t>IMMEUBLE</t>
  </si>
  <si>
    <t>Date de construction de l'immeuble :</t>
  </si>
  <si>
    <t xml:space="preserve">(JJ/MM/AAAA) </t>
  </si>
  <si>
    <r>
      <rPr>
        <sz val="11"/>
        <color theme="1"/>
        <rFont val="Calibri"/>
        <family val="2"/>
        <scheme val="minor"/>
      </rPr>
      <t>Nombre de lots</t>
    </r>
    <r>
      <rPr>
        <sz val="10"/>
        <color theme="1"/>
        <rFont val="Calibri"/>
        <family val="2"/>
        <scheme val="minor"/>
      </rPr>
      <t xml:space="preserve"> principaux :
</t>
    </r>
    <r>
      <rPr>
        <sz val="9"/>
        <color theme="1"/>
        <rFont val="Calibri"/>
        <family val="2"/>
        <scheme val="minor"/>
      </rPr>
      <t xml:space="preserve">(= caves, greniers et parking </t>
    </r>
    <r>
      <rPr>
        <b/>
        <u/>
        <sz val="9"/>
        <color theme="1"/>
        <rFont val="Calibri"/>
        <family val="2"/>
        <scheme val="minor"/>
      </rPr>
      <t>exclus</t>
    </r>
    <r>
      <rPr>
        <sz val="9"/>
        <color theme="1"/>
        <rFont val="Calibri"/>
        <family val="2"/>
        <scheme val="minor"/>
      </rPr>
      <t>)</t>
    </r>
  </si>
  <si>
    <t>Nombre de logements :</t>
  </si>
  <si>
    <t xml:space="preserve">Date de mise à jour de la fiche synthétique de copropriété : </t>
  </si>
  <si>
    <t xml:space="preserve">A usage : </t>
  </si>
  <si>
    <t xml:space="preserve">Nombre de locaux commerciaux : </t>
  </si>
  <si>
    <t>commercial :</t>
  </si>
  <si>
    <t>Budget annuel de la copropriété :</t>
  </si>
  <si>
    <r>
      <rPr>
        <sz val="11"/>
        <color theme="1"/>
        <rFont val="Calibri"/>
        <family val="2"/>
        <scheme val="minor"/>
      </rPr>
      <t>Nombre de copropriétaires</t>
    </r>
    <r>
      <rPr>
        <sz val="10"/>
        <color theme="1"/>
        <rFont val="Calibri"/>
        <family val="2"/>
        <scheme val="minor"/>
      </rPr>
      <t xml:space="preserve"> ou associés (total de l'immeuble) : </t>
    </r>
  </si>
  <si>
    <t>Nombre de locaux professionnels :</t>
  </si>
  <si>
    <t>NATURE ET MONTANTS DES DEPENSES VOTEES</t>
  </si>
  <si>
    <t>Nature des travaux :</t>
  </si>
  <si>
    <t>Nom de l'AMO :</t>
  </si>
  <si>
    <r>
      <t xml:space="preserve">Consommation énergétique </t>
    </r>
    <r>
      <rPr>
        <u/>
        <sz val="11"/>
        <color theme="1"/>
        <rFont val="Calibri"/>
        <family val="2"/>
        <scheme val="minor"/>
      </rPr>
      <t>AVANT</t>
    </r>
    <r>
      <rPr>
        <sz val="11"/>
        <color theme="1"/>
        <rFont val="Calibri"/>
        <family val="2"/>
        <scheme val="minor"/>
      </rPr>
      <t xml:space="preserve"> travaux</t>
    </r>
  </si>
  <si>
    <t>kWhep/m²/an</t>
  </si>
  <si>
    <t>Gain énergétique</t>
  </si>
  <si>
    <t xml:space="preserve">Contact AMO : </t>
  </si>
  <si>
    <r>
      <t xml:space="preserve">Consommation énergétique </t>
    </r>
    <r>
      <rPr>
        <u/>
        <sz val="11"/>
        <color theme="1"/>
        <rFont val="Calibri"/>
        <family val="2"/>
        <scheme val="minor"/>
      </rPr>
      <t>APRES</t>
    </r>
    <r>
      <rPr>
        <sz val="11"/>
        <color theme="1"/>
        <rFont val="Calibri"/>
        <family val="2"/>
        <scheme val="minor"/>
      </rPr>
      <t xml:space="preserve"> travaux</t>
    </r>
  </si>
  <si>
    <r>
      <t xml:space="preserve">Coût total de l'opération en euros
</t>
    </r>
    <r>
      <rPr>
        <i/>
        <sz val="11"/>
        <color theme="1"/>
        <rFont val="Calibri"/>
        <family val="2"/>
        <scheme val="minor"/>
      </rPr>
      <t>(y compris honoraires, frais et accessoires pour leur montant régulièrement voté) :</t>
    </r>
  </si>
  <si>
    <t>SYNDIC OU REPRESENTANT LEGAL</t>
  </si>
  <si>
    <t xml:space="preserve">Nom du syndic : </t>
  </si>
  <si>
    <t xml:space="preserve">Interlocuteur : </t>
  </si>
  <si>
    <t xml:space="preserve">Adresse : </t>
  </si>
  <si>
    <t xml:space="preserve">Téléphone : </t>
  </si>
  <si>
    <t xml:space="preserve">Code postal : </t>
  </si>
  <si>
    <t xml:space="preserve">Courriel : </t>
  </si>
  <si>
    <t xml:space="preserve">Nom et prénom du gérant / 
représentant légal du syndic : </t>
  </si>
  <si>
    <t>Date de désignation ou de renouvellement :</t>
  </si>
  <si>
    <t xml:space="preserve">Date d'échéance du mandat en cours : </t>
  </si>
  <si>
    <t xml:space="preserve">Nom, prénom et fonction de la personne habilitée à signer le contrat de prêt : </t>
  </si>
  <si>
    <t>(NB : pour une personne autre que le représentant légal du syndic, joindre une délégation de pouvoir et une pièce d'identité de la personne habilitée)</t>
  </si>
  <si>
    <t xml:space="preserve">Téléphone mobile 
de la personne habilitée (*) : </t>
  </si>
  <si>
    <t xml:space="preserve">Courriel 
de la personne habilitée (*) : </t>
  </si>
  <si>
    <t>* obligatoire en cas de signature électronique du contrat de prêt</t>
  </si>
  <si>
    <t>Vous pourrez être amené à être contacté par voie électronique (mail ou sms) à des fins de gestion pour des informations relatives à l’exécution de la présente demande et des produits ou/et services souscrits.</t>
  </si>
  <si>
    <t>Professionnel</t>
  </si>
  <si>
    <t xml:space="preserve">SIREN (ou SIRET si établissement secondaire) : </t>
  </si>
  <si>
    <t xml:space="preserve">Date de création du syndic : </t>
  </si>
  <si>
    <t>N° de carte professionnelle :</t>
  </si>
  <si>
    <t xml:space="preserve">Date d'expiration de la carte professionnelle : </t>
  </si>
  <si>
    <t xml:space="preserve">Garantie financière : </t>
  </si>
  <si>
    <t xml:space="preserve"> Organisme émetteur : </t>
  </si>
  <si>
    <t xml:space="preserve">Numéro de la garantie : </t>
  </si>
  <si>
    <t>Montant de la garantie financière :</t>
  </si>
  <si>
    <t>Assurance R.C. professionnelle - N° et Cie :</t>
  </si>
  <si>
    <t>Non professionnel</t>
  </si>
  <si>
    <t>Mod. 05.00.000761 - 04/2018 - MAJ DJ : 04/2018.</t>
  </si>
  <si>
    <r>
      <t xml:space="preserve">Désignation de ses droits </t>
    </r>
    <r>
      <rPr>
        <i/>
        <sz val="11"/>
        <color theme="1"/>
        <rFont val="Calibri"/>
        <family val="2"/>
        <scheme val="minor"/>
      </rPr>
      <t xml:space="preserve">(tantièmes ou parts sociales) </t>
    </r>
    <r>
      <rPr>
        <sz val="11"/>
        <color theme="1"/>
        <rFont val="Calibri"/>
        <family val="2"/>
        <scheme val="minor"/>
      </rPr>
      <t xml:space="preserve">dans l'immeuble : </t>
    </r>
  </si>
  <si>
    <t xml:space="preserve">sur un total de : </t>
  </si>
  <si>
    <t>PLAN DE FINANCEMENT</t>
  </si>
  <si>
    <t>Coût total de l'opération (A)</t>
  </si>
  <si>
    <t>En présence de subventions :</t>
  </si>
  <si>
    <t>Montant total des subventions (B)
(collectives et individuelles)</t>
  </si>
  <si>
    <t>&gt;</t>
  </si>
  <si>
    <t>S'agit-il d'un montant de subventions :</t>
  </si>
  <si>
    <t>Prévisionnel (calculé)</t>
  </si>
  <si>
    <t>Reste à financer (A-B)</t>
  </si>
  <si>
    <t>Montant des subventions collectives :</t>
  </si>
  <si>
    <t>Apport de la collectivité / fonds propres des copropriétaires</t>
  </si>
  <si>
    <t xml:space="preserve">Montant des subventions individuelles : </t>
  </si>
  <si>
    <t>Montant à financer en Eco-prêt à taux zéro (montant demandé)</t>
  </si>
  <si>
    <t xml:space="preserve">Vous demandez le préfinancement des subventions à la Caisse d'Epargne ? </t>
  </si>
  <si>
    <t>OUI</t>
  </si>
  <si>
    <t>Montant à financer en prêt collectif COPRO 100 ou COPRO 1 (montant demandé)</t>
  </si>
  <si>
    <t>(OUI / NON)</t>
  </si>
  <si>
    <t>La Caisse d’Epargne et de Prévoyance Grand Est Europe, Banque coopérative régie par les articles L.512-85 et suivants du Code Monétaire et Financier, société anonyme à Directoire et Conseil d’Orientation et de Surveillance au capital de 681.876.700 € - siège social à STRASBOURG (67100), 1, avenue du Rhin – 775 618 622 RCS STRASBOURG – immatriculée à l’ORIAS sous le n° 07 004 738.</t>
  </si>
  <si>
    <t>Des formulaires de plus de 500 lignes sont disponibles sur demande</t>
  </si>
  <si>
    <t>MODE D'EMPLOI</t>
  </si>
  <si>
    <t xml:space="preserve">DESIGNATION DU SYNDICAT DES COPROPRIETAIRES : </t>
  </si>
  <si>
    <t>TYPES DE PRÊTS</t>
  </si>
  <si>
    <r>
      <t xml:space="preserve">1) RENSEIGNER les rubriques avec un encadré vert
2) FILTRER sur la colonne "NOM ou RAISON SOCIALE" en sélectionnant les cellules renseignées 
(= </t>
    </r>
    <r>
      <rPr>
        <b/>
        <u/>
        <sz val="14"/>
        <color rgb="FFFF0000"/>
        <rFont val="Calibri"/>
        <family val="2"/>
        <scheme val="minor"/>
      </rPr>
      <t>décocher</t>
    </r>
    <r>
      <rPr>
        <b/>
        <sz val="14"/>
        <color rgb="FFFF0000"/>
        <rFont val="Calibri"/>
        <family val="2"/>
        <scheme val="minor"/>
      </rPr>
      <t xml:space="preserve"> les cases "vides")
3) IMPRIMER le document, le dater, le signer (+ cachet) et le joindre au dossier à adresser à la Caisse d'Epargne
4) ADRESSER le fichier Excel par mail à la Caisse d'Epargne :
 </t>
    </r>
    <r>
      <rPr>
        <b/>
        <u/>
        <sz val="14"/>
        <color theme="4" tint="-0.249977111117893"/>
        <rFont val="Calibri"/>
        <family val="2"/>
        <scheme val="minor"/>
      </rPr>
      <t xml:space="preserve">agence.copro@cegee.caisse-epargne.fr
</t>
    </r>
  </si>
  <si>
    <t>AVANCE DE SUBVENTIONS</t>
  </si>
  <si>
    <t>ECO-PTZ COPRO</t>
  </si>
  <si>
    <t>COPRO 100 (ou COPRO 1) complémentaire</t>
  </si>
  <si>
    <t xml:space="preserve">LISTE DES COPROPRIETAIRES DEMANDANT A PARTICIPER A L'EMPRUNT </t>
  </si>
  <si>
    <t>Si besoin : 
Votre REF. : n° lot, n° coprop.
(saisie libre)</t>
  </si>
  <si>
    <r>
      <t xml:space="preserve">NOM et prénoms des copropriétaires
ou RAISON SOCIALE
NB : si multipropriétaire : 
</t>
    </r>
    <r>
      <rPr>
        <b/>
        <u/>
        <sz val="12"/>
        <color rgb="FFFF0000"/>
        <rFont val="Calibri"/>
        <family val="2"/>
        <scheme val="minor"/>
      </rPr>
      <t>1 ligne par local</t>
    </r>
    <r>
      <rPr>
        <b/>
        <u/>
        <sz val="12"/>
        <color theme="1"/>
        <rFont val="Calibri"/>
        <family val="2"/>
        <scheme val="minor"/>
      </rPr>
      <t xml:space="preserve">
</t>
    </r>
    <r>
      <rPr>
        <b/>
        <u/>
        <sz val="12"/>
        <color rgb="FFFF0000"/>
        <rFont val="Calibri"/>
        <family val="2"/>
        <scheme val="minor"/>
      </rPr>
      <t>RAPPEL : pour un ECO-PTZ :
logements occupés en résidence principale uniquement</t>
    </r>
  </si>
  <si>
    <t>Quote-part des travaux sur les parties communes</t>
  </si>
  <si>
    <t>Montant des travaux sur les parties privatives</t>
  </si>
  <si>
    <t>Total de la quote-part des travaux (honoraires inclus)</t>
  </si>
  <si>
    <t>Quote-part des subventions collectives</t>
  </si>
  <si>
    <t>Montant des subventions individuelles</t>
  </si>
  <si>
    <r>
      <t xml:space="preserve">Demande de préfinancement de la part individuelle des subventions
</t>
    </r>
    <r>
      <rPr>
        <b/>
        <sz val="14"/>
        <color theme="1"/>
        <rFont val="Calibri"/>
        <family val="2"/>
        <scheme val="minor"/>
      </rPr>
      <t>(OUI / NON)</t>
    </r>
  </si>
  <si>
    <r>
      <rPr>
        <b/>
        <u/>
        <sz val="12"/>
        <color theme="1"/>
        <rFont val="Calibri"/>
        <family val="2"/>
        <scheme val="minor"/>
      </rPr>
      <t xml:space="preserve">Le cas échéant :
</t>
    </r>
    <r>
      <rPr>
        <b/>
        <sz val="12"/>
        <color theme="1"/>
        <rFont val="Calibri"/>
        <family val="2"/>
        <scheme val="minor"/>
      </rPr>
      <t xml:space="preserve"> Autres déductions (fonds travaux ALUR, provisions versées)
</t>
    </r>
    <r>
      <rPr>
        <b/>
        <sz val="12"/>
        <color rgb="FFFF0000"/>
        <rFont val="Calibri"/>
        <family val="2"/>
        <scheme val="minor"/>
      </rPr>
      <t>(</t>
    </r>
    <r>
      <rPr>
        <b/>
        <u/>
        <sz val="12"/>
        <color rgb="FFFF0000"/>
        <rFont val="Calibri"/>
        <family val="2"/>
        <scheme val="minor"/>
      </rPr>
      <t>CEE EXCLUS)</t>
    </r>
  </si>
  <si>
    <t>Montant du reste à charge</t>
  </si>
  <si>
    <r>
      <rPr>
        <b/>
        <sz val="16"/>
        <color theme="1"/>
        <rFont val="Calibri"/>
        <family val="2"/>
        <scheme val="minor"/>
      </rPr>
      <t>Montant d'emprunt demandé</t>
    </r>
    <r>
      <rPr>
        <b/>
        <sz val="12"/>
        <color theme="1"/>
        <rFont val="Calibri"/>
        <family val="2"/>
        <scheme val="minor"/>
      </rPr>
      <t xml:space="preserve">
</t>
    </r>
    <r>
      <rPr>
        <b/>
        <u/>
        <sz val="16"/>
        <color rgb="FFFF0000"/>
        <rFont val="Calibri"/>
        <family val="2"/>
        <scheme val="minor"/>
      </rPr>
      <t>dans la limite du reste à charge</t>
    </r>
    <r>
      <rPr>
        <b/>
        <sz val="16"/>
        <color theme="1"/>
        <rFont val="Calibri"/>
        <family val="2"/>
        <scheme val="minor"/>
      </rPr>
      <t xml:space="preserve">
</t>
    </r>
    <r>
      <rPr>
        <b/>
        <sz val="12"/>
        <color theme="1"/>
        <rFont val="Calibri"/>
        <family val="2"/>
        <scheme val="minor"/>
      </rPr>
      <t xml:space="preserve">(arrondi à l'euro </t>
    </r>
    <r>
      <rPr>
        <b/>
        <u/>
        <sz val="12"/>
        <color theme="1"/>
        <rFont val="Calibri"/>
        <family val="2"/>
        <scheme val="minor"/>
      </rPr>
      <t>inférieur</t>
    </r>
    <r>
      <rPr>
        <b/>
        <sz val="12"/>
        <color theme="1"/>
        <rFont val="Calibri"/>
        <family val="2"/>
        <scheme val="minor"/>
      </rPr>
      <t>)</t>
    </r>
  </si>
  <si>
    <r>
      <t xml:space="preserve">Etat des charges </t>
    </r>
    <r>
      <rPr>
        <b/>
        <u/>
        <sz val="12"/>
        <color theme="1"/>
        <rFont val="Calibri"/>
        <family val="2"/>
        <scheme val="minor"/>
      </rPr>
      <t xml:space="preserve">courantes
</t>
    </r>
    <r>
      <rPr>
        <b/>
        <sz val="12"/>
        <color theme="1"/>
        <rFont val="Calibri"/>
        <family val="2"/>
        <scheme val="minor"/>
      </rPr>
      <t xml:space="preserve">Le copropriétaire est-il à jour de ses charges courantes (sans retard de plus de 2 trimestres) sur les 12 derniers mois ?
</t>
    </r>
    <r>
      <rPr>
        <b/>
        <sz val="14"/>
        <color theme="1"/>
        <rFont val="Calibri"/>
        <family val="2"/>
        <scheme val="minor"/>
      </rPr>
      <t>(OUI / NON)</t>
    </r>
  </si>
  <si>
    <t>Tantièmes</t>
  </si>
  <si>
    <r>
      <rPr>
        <b/>
        <sz val="16"/>
        <color theme="1"/>
        <rFont val="Calibri"/>
        <family val="2"/>
        <scheme val="minor"/>
      </rPr>
      <t>Au titre de l'ECO-PTZ</t>
    </r>
    <r>
      <rPr>
        <b/>
        <sz val="12"/>
        <color theme="1"/>
        <rFont val="Calibri"/>
        <family val="2"/>
        <scheme val="minor"/>
      </rPr>
      <t xml:space="preserve">
Durée choisie
(même durée)</t>
    </r>
  </si>
  <si>
    <r>
      <t xml:space="preserve">
</t>
    </r>
    <r>
      <rPr>
        <b/>
        <sz val="16"/>
        <color theme="1"/>
        <rFont val="Calibri"/>
        <family val="2"/>
        <scheme val="minor"/>
      </rPr>
      <t>Au titre du COPRO 100</t>
    </r>
    <r>
      <rPr>
        <b/>
        <sz val="12"/>
        <color theme="1"/>
        <rFont val="Calibri"/>
        <family val="2"/>
        <scheme val="minor"/>
      </rPr>
      <t xml:space="preserve"> 
</t>
    </r>
    <r>
      <rPr>
        <b/>
        <sz val="16"/>
        <color theme="1"/>
        <rFont val="Calibri"/>
        <family val="2"/>
        <scheme val="minor"/>
      </rPr>
      <t>(ou COPRO 1)</t>
    </r>
    <r>
      <rPr>
        <b/>
        <sz val="12"/>
        <color theme="1"/>
        <rFont val="Calibri"/>
        <family val="2"/>
        <scheme val="minor"/>
      </rPr>
      <t xml:space="preserve">
</t>
    </r>
    <r>
      <rPr>
        <b/>
        <sz val="12"/>
        <color rgb="FFFF0000"/>
        <rFont val="Calibri"/>
        <family val="2"/>
        <scheme val="minor"/>
      </rPr>
      <t>(lots non éligibles à l'ECO-PTZ ou au-delà du plafond)</t>
    </r>
    <r>
      <rPr>
        <b/>
        <sz val="12"/>
        <color theme="1"/>
        <rFont val="Calibri"/>
        <family val="2"/>
        <scheme val="minor"/>
      </rPr>
      <t xml:space="preserve">
</t>
    </r>
  </si>
  <si>
    <t>COPRO 100 ou COPRO1
Durée d'emprunt choisie</t>
  </si>
  <si>
    <t>(A)</t>
  </si>
  <si>
    <t>(B)</t>
  </si>
  <si>
    <t xml:space="preserve"> (C)
= (A + B)</t>
  </si>
  <si>
    <t>(D)</t>
  </si>
  <si>
    <t>(E)</t>
  </si>
  <si>
    <t>(F)</t>
  </si>
  <si>
    <t>(G) 
= (C - D - E - F)</t>
  </si>
  <si>
    <t>15 ans</t>
  </si>
  <si>
    <t>AZERTY</t>
  </si>
  <si>
    <t>NON</t>
  </si>
  <si>
    <t>MEUBLE TOURISTIQUE</t>
  </si>
  <si>
    <t>CRESUS</t>
  </si>
  <si>
    <t>TOTAL A FINANCER en euros</t>
  </si>
  <si>
    <t>TOTAL A FINANCER</t>
  </si>
  <si>
    <t>Je soussigné déclare qu’à ma connaissance aucun des titulaires de lots participants de l’emprunt n’est, à ce jour, en état de liquidation de biens, règlement judiciaire, faillite ou banqueroute. 
A peine de forclusion, il est rappelé que les participants à l’emprunt ont notifié leur adhésion dans les conditions et délais légaux prévus par l’article 26-4 de la loi n °65-557 du 10 juillet 1965 fixant le statut de la copropriété des immeubles bâtis. 
Il est également rappelé que vous ne pouvez signer le contrat de prêt avant l’expiration du délai de recours de deux mois à compter de la notification de la décision d’emprunt prise en assemblée générale des copropriétaires, conformément à l’article  26-4 de la loi n°65-557 du 10 juillet  1965.</t>
  </si>
  <si>
    <t xml:space="preserve">Fait à </t>
  </si>
  <si>
    <t xml:space="preserve">, le </t>
  </si>
  <si>
    <t>Signature du Syndic ou Représentant légal
certifiée sincère et véritable</t>
  </si>
  <si>
    <t>Cachet du Syndic</t>
  </si>
  <si>
    <t>La Caisse d’Epargne Grand Est Europe recueille des données à caractère personnel vous concernant et met en œuvre des mesures techniques et organisationnelles appropriées pour s’assurer que les traitements de données à caractère personnel sont effectués conformément à la législation applicable. Les données recueillies sont obligatoires. A défaut votre demande ne pourrait pas être traitée ou son traitement s’en trouverait retardé. Vos données sont traitées pour établir une proposition de financement sur la base des données recueillies. Ces traitements ont pour bases juridiques : la gestion et exécution de votre demande, nos obligations légales, l’intérêt légitime et votre consentement s’agissant de la prospection commerciale. Vos données sont destinées au prêteur, responsable de traitement.
Lorsque vous êtes entré en contact avec nous et que votre demande n’a pas été suivie d’un contrat de crédit, nous conservons vos données pendant une durée limitée à la finalité initialement poursuivie. Les données personnelles relatives à un prospect non client sont conservées, à des fins de prospection commerciale, pendant une durée maximale de trois ans à compter du dernier contact émanant du prospect.
Vous bénéficiez d’un droit d’accès à vos données à caractère personnel. Dans les conditions prévues par la loi, vous pouvez également demander une limitation du traitement, la rectification ou l’effacement des données vous concernant, ainsi que leur portabilité, ou communiquer des directives sur le sort de ces données en cas de décès.
Vous disposez également du droit de vous opposer au traitement de vos données à des fins de prospection commerciale. Ces droits peuvent, sous réserve de justifier de votre identité par la production d’une pièce d’identité, être exercés à tout moment à l’adresse suivante :
- Par courrier postal : Caisse d’Epargne Grand Est Europe - Service relations clientèle - 5, Parvis des Droits de l’Homme - 57012 Metz Cedex
- Par courriel : relationsclientele@cegee.caisse-epargne.fr
Si vous souhaitez en savoir plus ou contacter notre Délégué à la Protection des Données, vous pouvez lui écrire à l’adresse suivante : Caisse d’Epargne Grand Est Europe – Délégué à la Protection des Données - 5, Parvis des Droits de l’Homme - 57012 Metz Cedex. Par courriel : delegue-protection-donnees@cegee.caisse-epargne.fr.
Les personnes concernées ont le droit d’introduire une réclamation auprès d’une autorité de contrôle en charge de la protection des personnes physiques à l’égard du traitement des données à caractère personnel. En France, l’autorité de contrôle est : Commission Nationale de l’Informatique et des Libertés (CNIL) 3 place de Fontenoy TSA 80715 75334 PARIS Cedex 07.
Pour plus d’information, consultez notre notice d’information sur la protection des données personnelles à tout moment sur notre site internet https://www.caisse-epargne.fr/grand-est-europe/votre-banque/reglementation/protection-de-vos-donnees-personnelles/ ou sur simple demande auprès de notre établissement.</t>
  </si>
  <si>
    <t>PLAN DE FINANCEMENT GLOBAL</t>
  </si>
  <si>
    <r>
      <t xml:space="preserve">Date de début des travaux
</t>
    </r>
    <r>
      <rPr>
        <sz val="11"/>
        <rFont val="Arial"/>
        <family val="2"/>
      </rPr>
      <t>(JJ/MM/AAAA)</t>
    </r>
  </si>
  <si>
    <t xml:space="preserve">DESIGNATION
DU SYNDICAT DES COPROPRIETAIRES : </t>
  </si>
  <si>
    <r>
      <t xml:space="preserve">Date prévisionnelle de fin des travaux
</t>
    </r>
    <r>
      <rPr>
        <sz val="11"/>
        <rFont val="Arial"/>
        <family val="2"/>
      </rPr>
      <t>(JJ/MM/AAAA)</t>
    </r>
  </si>
  <si>
    <r>
      <t xml:space="preserve">EMPLOIS
</t>
    </r>
    <r>
      <rPr>
        <b/>
        <i/>
        <sz val="10"/>
        <rFont val="Arial"/>
        <family val="2"/>
      </rPr>
      <t>(Travaux)</t>
    </r>
  </si>
  <si>
    <t>€ TTC</t>
  </si>
  <si>
    <t xml:space="preserve">MONTANTS ELIGIBLES ECO PTZ SELON DEVIS RGE </t>
  </si>
  <si>
    <t>Montants éligibles aux seuls copropriétaires adhérents</t>
  </si>
  <si>
    <r>
      <t xml:space="preserve">RESSOURCES
</t>
    </r>
    <r>
      <rPr>
        <b/>
        <i/>
        <sz val="10"/>
        <rFont val="Arial"/>
        <family val="2"/>
      </rPr>
      <t>(Subventions, Prêts, Apports…)</t>
    </r>
  </si>
  <si>
    <t>1. NATURE DES TRAVAUX</t>
  </si>
  <si>
    <t>Date vote 
et N° réso</t>
  </si>
  <si>
    <t>Budget voté</t>
  </si>
  <si>
    <t>Entreprises</t>
  </si>
  <si>
    <t>Date devis
 ou OS</t>
  </si>
  <si>
    <t>A -  SUBVENTIONS PUBLIQUES AU SYNDICAT (MONTANTS PREFINANCES)</t>
  </si>
  <si>
    <t>isolation</t>
  </si>
  <si>
    <t>SA RENOV</t>
  </si>
  <si>
    <t>ANAH</t>
  </si>
  <si>
    <t>Climaxion</t>
  </si>
  <si>
    <t>Aide de l'EMS pour étude MOE</t>
  </si>
  <si>
    <t>Aide de l'EMS pour travaux</t>
  </si>
  <si>
    <t>Sous-total travaux (y compris aléas)</t>
  </si>
  <si>
    <t>TOTAL SUBVENTIONS PUBLIQUES
(MONTANTS PREFINANCES)</t>
  </si>
  <si>
    <t>2. HONORAIRES DIVERS</t>
  </si>
  <si>
    <t>B - AUTRES FINANCEMENTS</t>
  </si>
  <si>
    <t>Bureau de contrôle</t>
  </si>
  <si>
    <t>Fonds Propres des copropriétaires</t>
  </si>
  <si>
    <t>Coordinateur SPS</t>
  </si>
  <si>
    <t>Demande d'ECO-PTZ</t>
  </si>
  <si>
    <t>Maîtrise d'œuvre - phase travaux</t>
  </si>
  <si>
    <t>Demande de COPRO 100 (ou COPRO1) complémentaire</t>
  </si>
  <si>
    <t>AMO - phase travaux</t>
  </si>
  <si>
    <t>Montant des factures déjà réglées par le syndic</t>
  </si>
  <si>
    <t>Assurance dommages-ouvrage</t>
  </si>
  <si>
    <t>honoraire syndic</t>
  </si>
  <si>
    <t>Test d'étanchéité à l'air finaux</t>
  </si>
  <si>
    <t>Sous-total honoraires</t>
  </si>
  <si>
    <t>Sous-total Fonds Propres et Assimilés</t>
  </si>
  <si>
    <t>TOTAL GENERAL (1+2)</t>
  </si>
  <si>
    <t>TOTAL GENERAL (A+B)</t>
  </si>
  <si>
    <t>Date, cachet et signature du syndic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</si>
</sst>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0\ &quot;€&quot;;\-#,##0\ &quot;€&quot;"/>
    <numFmt numFmtId="44" formatCode="_-* #,##0.00\ &quot;€&quot;_-;\-* #,##0.00\ &quot;€&quot;_-;_-* &quot;-&quot;??\ &quot;€&quot;_-;_-@_-"/>
    <numFmt numFmtId="43" formatCode="_-* #,##0.00_-;\-* #,##0.00_-;_-* &quot;-&quot;??_-;_-@_-"/>
    <numFmt numFmtId="164" formatCode="0.0%"/>
    <numFmt numFmtId="165" formatCode="_-* #,##0\ [$€-40C]_-;\-* #,##0\ [$€-40C]_-;_-* &quot;-&quot;??\ [$€-40C]_-;_-@_-"/>
    <numFmt numFmtId="166" formatCode="#,##0.00\ &quot;€&quot;"/>
    <numFmt numFmtId="167" formatCode="00000"/>
    <numFmt numFmtId="168" formatCode="_-* #,##0\ &quot;€&quot;_-;\-* #,##0\ &quot;€&quot;_-;_-* &quot;-&quot;??\ &quot;€&quot;_-;_-@_-"/>
    <numFmt numFmtId="169" formatCode="0#&quot; &quot;##&quot; &quot;##&quot; &quot;##&quot; &quot;##"/>
    <numFmt numFmtId="170" formatCode="#,##0_ ;\-#,##0\ "/>
    <numFmt numFmtId="171" formatCode="_-* #,##0\ _€_-;\-* #,##0\ _€_-;_-* &quot;-&quot;??\ _€_-;_-@_-"/>
    <numFmt numFmtId="172" formatCode="#,##0\ &quot;€&quot;"/>
  </numFmts>
  <fonts count="55">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0"/>
      <color theme="1"/>
      <name val="Calibri"/>
      <family val="2"/>
      <scheme val="minor"/>
    </font>
    <font>
      <sz val="11"/>
      <color rgb="FF6F6F6F"/>
      <name val="Arial"/>
      <family val="2"/>
    </font>
    <font>
      <sz val="8"/>
      <color rgb="FF6F6F6F"/>
      <name val="Calibri"/>
      <family val="2"/>
      <scheme val="minor"/>
    </font>
    <font>
      <sz val="9"/>
      <color theme="1"/>
      <name val="Calibri"/>
      <family val="2"/>
      <scheme val="minor"/>
    </font>
    <font>
      <sz val="10"/>
      <color theme="1"/>
      <name val="Calibri"/>
      <family val="2"/>
      <scheme val="minor"/>
    </font>
    <font>
      <b/>
      <sz val="11"/>
      <color rgb="FF00B050"/>
      <name val="Calibri"/>
      <family val="2"/>
      <scheme val="minor"/>
    </font>
    <font>
      <b/>
      <sz val="12"/>
      <color theme="1"/>
      <name val="Calibri"/>
      <family val="2"/>
      <scheme val="minor"/>
    </font>
    <font>
      <b/>
      <sz val="11"/>
      <name val="Calibri"/>
      <family val="2"/>
      <scheme val="minor"/>
    </font>
    <font>
      <sz val="14"/>
      <color theme="1"/>
      <name val="Calibri"/>
      <family val="2"/>
      <scheme val="minor"/>
    </font>
    <font>
      <b/>
      <sz val="14"/>
      <color theme="1"/>
      <name val="Calibri"/>
      <family val="2"/>
      <scheme val="minor"/>
    </font>
    <font>
      <b/>
      <sz val="18"/>
      <color theme="1"/>
      <name val="Calibri"/>
      <family val="2"/>
      <scheme val="minor"/>
    </font>
    <font>
      <b/>
      <sz val="16"/>
      <color theme="1"/>
      <name val="Calibri"/>
      <family val="2"/>
      <scheme val="minor"/>
    </font>
    <font>
      <b/>
      <sz val="14"/>
      <color rgb="FFFF0000"/>
      <name val="Calibri"/>
      <family val="2"/>
      <scheme val="minor"/>
    </font>
    <font>
      <b/>
      <sz val="12"/>
      <color rgb="FFFF0000"/>
      <name val="Calibri"/>
      <family val="2"/>
      <scheme val="minor"/>
    </font>
    <font>
      <b/>
      <u/>
      <sz val="12"/>
      <color theme="1"/>
      <name val="Calibri"/>
      <family val="2"/>
      <scheme val="minor"/>
    </font>
    <font>
      <b/>
      <u/>
      <sz val="16"/>
      <color rgb="FFFF0000"/>
      <name val="Calibri"/>
      <family val="2"/>
      <scheme val="minor"/>
    </font>
    <font>
      <b/>
      <u/>
      <sz val="12"/>
      <color rgb="FFFF0000"/>
      <name val="Calibri"/>
      <family val="2"/>
      <scheme val="minor"/>
    </font>
    <font>
      <b/>
      <sz val="22"/>
      <name val="Calibri"/>
      <family val="2"/>
      <scheme val="minor"/>
    </font>
    <font>
      <b/>
      <sz val="20"/>
      <name val="Calibri"/>
      <family val="2"/>
      <scheme val="minor"/>
    </font>
    <font>
      <b/>
      <sz val="18"/>
      <name val="Calibri"/>
      <family val="2"/>
      <scheme val="minor"/>
    </font>
    <font>
      <b/>
      <u/>
      <sz val="14"/>
      <color rgb="FFFF0000"/>
      <name val="Calibri"/>
      <family val="2"/>
      <scheme val="minor"/>
    </font>
    <font>
      <b/>
      <u/>
      <sz val="14"/>
      <color theme="4" tint="-0.249977111117893"/>
      <name val="Calibri"/>
      <family val="2"/>
      <scheme val="minor"/>
    </font>
    <font>
      <b/>
      <sz val="22"/>
      <color theme="1"/>
      <name val="Calibri"/>
      <family val="2"/>
      <scheme val="minor"/>
    </font>
    <font>
      <b/>
      <u/>
      <sz val="24"/>
      <color rgb="FFFF0000"/>
      <name val="Calibri"/>
      <family val="2"/>
      <scheme val="minor"/>
    </font>
    <font>
      <i/>
      <sz val="14"/>
      <color theme="1"/>
      <name val="Calibri"/>
      <family val="2"/>
      <scheme val="minor"/>
    </font>
    <font>
      <sz val="10"/>
      <name val="Arial"/>
      <family val="2"/>
    </font>
    <font>
      <sz val="8"/>
      <name val="Arial"/>
      <family val="2"/>
    </font>
    <font>
      <b/>
      <sz val="10"/>
      <name val="Arial"/>
      <family val="2"/>
    </font>
    <font>
      <b/>
      <i/>
      <sz val="10"/>
      <name val="Arial"/>
      <family val="2"/>
    </font>
    <font>
      <b/>
      <sz val="12"/>
      <name val="Arial"/>
      <family val="2"/>
    </font>
    <font>
      <b/>
      <sz val="11"/>
      <name val="Arial"/>
      <family val="2"/>
    </font>
    <font>
      <sz val="11"/>
      <name val="Arial"/>
      <family val="2"/>
    </font>
    <font>
      <sz val="12"/>
      <name val="Arial"/>
      <family val="2"/>
    </font>
    <font>
      <sz val="14"/>
      <color theme="0"/>
      <name val="Calibri"/>
      <family val="2"/>
      <scheme val="minor"/>
    </font>
    <font>
      <b/>
      <u/>
      <sz val="18"/>
      <color theme="1"/>
      <name val="Calibri"/>
      <family val="2"/>
      <scheme val="minor"/>
    </font>
    <font>
      <i/>
      <sz val="11"/>
      <color theme="1"/>
      <name val="Calibri"/>
      <family val="2"/>
      <scheme val="minor"/>
    </font>
    <font>
      <i/>
      <sz val="10"/>
      <color theme="1"/>
      <name val="Calibri"/>
      <family val="2"/>
      <scheme val="minor"/>
    </font>
    <font>
      <u/>
      <sz val="8"/>
      <color theme="10"/>
      <name val="Calibri"/>
      <family val="2"/>
      <scheme val="minor"/>
    </font>
    <font>
      <sz val="8"/>
      <name val="Calibri"/>
      <family val="2"/>
      <scheme val="minor"/>
    </font>
    <font>
      <i/>
      <sz val="8"/>
      <color theme="1"/>
      <name val="Calibri"/>
      <family val="2"/>
      <scheme val="minor"/>
    </font>
    <font>
      <b/>
      <u/>
      <sz val="9"/>
      <color theme="1"/>
      <name val="Calibri"/>
      <family val="2"/>
      <scheme val="minor"/>
    </font>
    <font>
      <sz val="11"/>
      <name val="Calibri"/>
      <family val="2"/>
      <scheme val="minor"/>
    </font>
    <font>
      <u/>
      <sz val="11"/>
      <color theme="1"/>
      <name val="Calibri"/>
      <family val="2"/>
      <scheme val="minor"/>
    </font>
    <font>
      <sz val="8"/>
      <color theme="1"/>
      <name val="Calibri"/>
      <family val="2"/>
      <scheme val="minor"/>
    </font>
    <font>
      <b/>
      <u/>
      <sz val="11"/>
      <color theme="1"/>
      <name val="Calibri"/>
      <family val="2"/>
      <scheme val="minor"/>
    </font>
    <font>
      <sz val="18"/>
      <color theme="1"/>
      <name val="Calibri"/>
      <family val="2"/>
      <scheme val="minor"/>
    </font>
    <font>
      <i/>
      <sz val="9"/>
      <color theme="1"/>
      <name val="Calibri"/>
      <family val="2"/>
      <scheme val="minor"/>
    </font>
    <font>
      <sz val="8"/>
      <color theme="0"/>
      <name val="Calibri"/>
      <family val="2"/>
      <scheme val="minor"/>
    </font>
    <font>
      <b/>
      <i/>
      <sz val="12"/>
      <color theme="1"/>
      <name val="Calibri"/>
      <family val="2"/>
      <scheme val="minor"/>
    </font>
    <font>
      <b/>
      <sz val="14"/>
      <color rgb="FF00B050"/>
      <name val="Calibri"/>
      <family val="2"/>
      <scheme val="minor"/>
    </font>
    <font>
      <b/>
      <sz val="16"/>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92D050"/>
        <bgColor indexed="64"/>
      </patternFill>
    </fill>
  </fills>
  <borders count="88">
    <border>
      <left/>
      <right/>
      <top/>
      <bottom/>
      <diagonal/>
    </border>
    <border>
      <left/>
      <right style="medium">
        <color rgb="FF00B050"/>
      </right>
      <top style="medium">
        <color rgb="FF00B050"/>
      </top>
      <bottom style="medium">
        <color rgb="FF00B050"/>
      </bottom>
      <diagonal/>
    </border>
    <border>
      <left/>
      <right/>
      <top style="medium">
        <color rgb="FF00B050"/>
      </top>
      <bottom style="medium">
        <color rgb="FF00B050"/>
      </bottom>
      <diagonal/>
    </border>
    <border>
      <left style="medium">
        <color rgb="FF00B050"/>
      </left>
      <right/>
      <top style="medium">
        <color rgb="FF00B050"/>
      </top>
      <bottom style="medium">
        <color rgb="FF00B050"/>
      </bottom>
      <diagonal/>
    </border>
    <border>
      <left style="thin">
        <color indexed="64"/>
      </left>
      <right style="thin">
        <color indexed="64"/>
      </right>
      <top/>
      <bottom style="thin">
        <color indexed="64"/>
      </bottom>
      <diagonal/>
    </border>
    <border>
      <left style="thin">
        <color indexed="64"/>
      </left>
      <right style="medium">
        <color rgb="FF00B050"/>
      </right>
      <top style="thin">
        <color indexed="64"/>
      </top>
      <bottom style="medium">
        <color rgb="FF00B050"/>
      </bottom>
      <diagonal/>
    </border>
    <border>
      <left/>
      <right style="thin">
        <color indexed="64"/>
      </right>
      <top style="thin">
        <color indexed="64"/>
      </top>
      <bottom style="medium">
        <color rgb="FF00B050"/>
      </bottom>
      <diagonal/>
    </border>
    <border>
      <left style="thin">
        <color indexed="64"/>
      </left>
      <right style="thin">
        <color indexed="64"/>
      </right>
      <top style="thin">
        <color indexed="64"/>
      </top>
      <bottom style="medium">
        <color rgb="FF00B050"/>
      </bottom>
      <diagonal/>
    </border>
    <border>
      <left/>
      <right/>
      <top style="thin">
        <color indexed="64"/>
      </top>
      <bottom style="thin">
        <color indexed="64"/>
      </bottom>
      <diagonal/>
    </border>
    <border>
      <left/>
      <right style="medium">
        <color rgb="FF00B050"/>
      </right>
      <top style="thin">
        <color indexed="64"/>
      </top>
      <bottom style="medium">
        <color rgb="FF00B050"/>
      </bottom>
      <diagonal/>
    </border>
    <border>
      <left style="thin">
        <color indexed="64"/>
      </left>
      <right/>
      <top style="thin">
        <color indexed="64"/>
      </top>
      <bottom style="medium">
        <color rgb="FF00B050"/>
      </bottom>
      <diagonal/>
    </border>
    <border>
      <left style="medium">
        <color rgb="FF00B050"/>
      </left>
      <right/>
      <top style="thin">
        <color indexed="64"/>
      </top>
      <bottom style="medium">
        <color rgb="FF00B050"/>
      </bottom>
      <diagonal/>
    </border>
    <border>
      <left style="medium">
        <color rgb="FF00B050"/>
      </left>
      <right style="thin">
        <color indexed="64"/>
      </right>
      <top style="thin">
        <color indexed="64"/>
      </top>
      <bottom style="medium">
        <color rgb="FF00B050"/>
      </bottom>
      <diagonal/>
    </border>
    <border>
      <left style="thin">
        <color indexed="64"/>
      </left>
      <right style="medium">
        <color rgb="FF00B050"/>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rgb="FF00B050"/>
      </right>
      <top style="thin">
        <color indexed="64"/>
      </top>
      <bottom style="thin">
        <color indexed="64"/>
      </bottom>
      <diagonal/>
    </border>
    <border>
      <left style="thin">
        <color indexed="64"/>
      </left>
      <right/>
      <top style="thin">
        <color indexed="64"/>
      </top>
      <bottom style="thin">
        <color indexed="64"/>
      </bottom>
      <diagonal/>
    </border>
    <border>
      <left style="medium">
        <color rgb="FF00B050"/>
      </left>
      <right/>
      <top style="thin">
        <color indexed="64"/>
      </top>
      <bottom style="thin">
        <color indexed="64"/>
      </bottom>
      <diagonal/>
    </border>
    <border>
      <left/>
      <right style="thin">
        <color indexed="64"/>
      </right>
      <top style="thin">
        <color indexed="64"/>
      </top>
      <bottom style="thin">
        <color indexed="64"/>
      </bottom>
      <diagonal/>
    </border>
    <border>
      <left style="medium">
        <color rgb="FF00B050"/>
      </left>
      <right style="thin">
        <color indexed="64"/>
      </right>
      <top style="thin">
        <color indexed="64"/>
      </top>
      <bottom style="thin">
        <color indexed="64"/>
      </bottom>
      <diagonal/>
    </border>
    <border>
      <left style="thin">
        <color indexed="64"/>
      </left>
      <right style="medium">
        <color rgb="FF00B050"/>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rgb="FF00B050"/>
      </left>
      <right style="thin">
        <color indexed="64"/>
      </right>
      <top style="thin">
        <color indexed="64"/>
      </top>
      <bottom/>
      <diagonal/>
    </border>
    <border>
      <left style="thin">
        <color indexed="64"/>
      </left>
      <right style="medium">
        <color rgb="FF00B050"/>
      </right>
      <top style="medium">
        <color rgb="FF00B050"/>
      </top>
      <bottom style="thin">
        <color indexed="64"/>
      </bottom>
      <diagonal/>
    </border>
    <border>
      <left/>
      <right style="thin">
        <color indexed="64"/>
      </right>
      <top style="medium">
        <color rgb="FF00B050"/>
      </top>
      <bottom style="thin">
        <color indexed="64"/>
      </bottom>
      <diagonal/>
    </border>
    <border>
      <left style="thin">
        <color indexed="64"/>
      </left>
      <right style="thin">
        <color indexed="64"/>
      </right>
      <top style="medium">
        <color rgb="FF00B050"/>
      </top>
      <bottom style="thin">
        <color indexed="64"/>
      </bottom>
      <diagonal/>
    </border>
    <border>
      <left style="medium">
        <color rgb="FF00B050"/>
      </left>
      <right/>
      <top style="medium">
        <color rgb="FF00B050"/>
      </top>
      <bottom style="thin">
        <color indexed="64"/>
      </bottom>
      <diagonal/>
    </border>
    <border>
      <left/>
      <right style="medium">
        <color rgb="FF00B050"/>
      </right>
      <top style="medium">
        <color rgb="FF00B050"/>
      </top>
      <bottom style="thin">
        <color indexed="64"/>
      </bottom>
      <diagonal/>
    </border>
    <border>
      <left style="thin">
        <color indexed="64"/>
      </left>
      <right/>
      <top style="medium">
        <color rgb="FF00B050"/>
      </top>
      <bottom style="thin">
        <color indexed="64"/>
      </bottom>
      <diagonal/>
    </border>
    <border>
      <left/>
      <right/>
      <top/>
      <bottom style="thin">
        <color indexed="64"/>
      </bottom>
      <diagonal/>
    </border>
    <border>
      <left style="medium">
        <color rgb="FF00B050"/>
      </left>
      <right style="thin">
        <color indexed="64"/>
      </right>
      <top style="medium">
        <color rgb="FF00B05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B050"/>
      </left>
      <right style="medium">
        <color rgb="FF00B050"/>
      </right>
      <top style="medium">
        <color rgb="FF00B050"/>
      </top>
      <bottom/>
      <diagonal/>
    </border>
    <border>
      <left style="thin">
        <color indexed="64"/>
      </left>
      <right style="thin">
        <color indexed="64"/>
      </right>
      <top/>
      <bottom style="medium">
        <color rgb="FF00B050"/>
      </bottom>
      <diagonal/>
    </border>
    <border>
      <left/>
      <right style="medium">
        <color rgb="FFFF0000"/>
      </right>
      <top/>
      <bottom style="medium">
        <color rgb="FFFF0000"/>
      </bottom>
      <diagonal/>
    </border>
    <border>
      <left/>
      <right/>
      <top/>
      <bottom style="medium">
        <color rgb="FFFF0000"/>
      </bottom>
      <diagonal/>
    </border>
    <border>
      <left style="medium">
        <color rgb="FFFF0000"/>
      </left>
      <right/>
      <top/>
      <bottom style="medium">
        <color rgb="FFFF0000"/>
      </bottom>
      <diagonal/>
    </border>
    <border>
      <left/>
      <right style="medium">
        <color rgb="FFFF0000"/>
      </right>
      <top/>
      <bottom/>
      <diagonal/>
    </border>
    <border>
      <left style="medium">
        <color rgb="FFFF0000"/>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medium">
        <color rgb="FFFF0000"/>
      </right>
      <top style="medium">
        <color rgb="FFFF0000"/>
      </top>
      <bottom/>
      <diagonal/>
    </border>
    <border>
      <left/>
      <right/>
      <top style="medium">
        <color rgb="FFFF0000"/>
      </top>
      <bottom/>
      <diagonal/>
    </border>
    <border>
      <left style="medium">
        <color rgb="FFFF0000"/>
      </left>
      <right/>
      <top style="medium">
        <color rgb="FFFF0000"/>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rgb="FF00B050"/>
      </top>
      <bottom/>
      <diagonal/>
    </border>
    <border>
      <left/>
      <right style="medium">
        <color rgb="FF00B050"/>
      </right>
      <top/>
      <bottom/>
      <diagonal/>
    </border>
    <border>
      <left style="medium">
        <color rgb="FF00B050"/>
      </left>
      <right style="medium">
        <color rgb="FF00B050"/>
      </right>
      <top style="medium">
        <color rgb="FF00B050"/>
      </top>
      <bottom style="medium">
        <color rgb="FF00B050"/>
      </bottom>
      <diagonal/>
    </border>
    <border>
      <left style="medium">
        <color rgb="FF00B050"/>
      </left>
      <right/>
      <top/>
      <bottom/>
      <diagonal/>
    </border>
    <border>
      <left style="medium">
        <color rgb="FF00B050"/>
      </left>
      <right/>
      <top style="medium">
        <color rgb="FF00B050"/>
      </top>
      <bottom/>
      <diagonal/>
    </border>
    <border>
      <left style="medium">
        <color rgb="FF00B050"/>
      </left>
      <right style="medium">
        <color rgb="FF00B050"/>
      </right>
      <top/>
      <bottom style="medium">
        <color rgb="FF00B050"/>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right style="medium">
        <color rgb="FF00B050"/>
      </right>
      <top style="medium">
        <color rgb="FF00B050"/>
      </top>
      <bottom/>
      <diagonal/>
    </border>
    <border>
      <left style="thin">
        <color rgb="FF00B050"/>
      </left>
      <right/>
      <top/>
      <bottom/>
      <diagonal/>
    </border>
    <border>
      <left style="medium">
        <color indexed="64"/>
      </left>
      <right/>
      <top style="medium">
        <color indexed="64"/>
      </top>
      <bottom/>
      <diagonal/>
    </border>
    <border>
      <left/>
      <right/>
      <top style="medium">
        <color indexed="64"/>
      </top>
      <bottom/>
      <diagonal/>
    </border>
    <border>
      <left style="medium">
        <color rgb="FF00B050"/>
      </left>
      <right/>
      <top style="medium">
        <color indexed="64"/>
      </top>
      <bottom style="medium">
        <color rgb="FF00B050"/>
      </bottom>
      <diagonal/>
    </border>
    <border>
      <left/>
      <right/>
      <top style="medium">
        <color indexed="64"/>
      </top>
      <bottom style="medium">
        <color rgb="FF00B050"/>
      </bottom>
      <diagonal/>
    </border>
    <border>
      <left/>
      <right style="medium">
        <color indexed="64"/>
      </right>
      <top style="medium">
        <color indexed="64"/>
      </top>
      <bottom style="medium">
        <color rgb="FF00B050"/>
      </bottom>
      <diagonal/>
    </border>
    <border>
      <left style="medium">
        <color indexed="64"/>
      </left>
      <right/>
      <top/>
      <bottom/>
      <diagonal/>
    </border>
    <border>
      <left/>
      <right style="medium">
        <color indexed="64"/>
      </right>
      <top/>
      <bottom/>
      <diagonal/>
    </border>
    <border>
      <left/>
      <right style="medium">
        <color indexed="64"/>
      </right>
      <top style="medium">
        <color rgb="FF00B050"/>
      </top>
      <bottom style="medium">
        <color rgb="FF00B05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29" fillId="0" borderId="0"/>
    <xf numFmtId="43" fontId="1" fillId="0" borderId="0" applyFont="0" applyFill="0" applyBorder="0" applyAlignment="0" applyProtection="0"/>
  </cellStyleXfs>
  <cellXfs count="441">
    <xf numFmtId="0" fontId="0" fillId="0" borderId="0" xfId="0"/>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164" fontId="0" fillId="0" borderId="0" xfId="2" applyNumberFormat="1" applyFont="1" applyProtection="1">
      <protection locked="0"/>
    </xf>
    <xf numFmtId="164" fontId="0" fillId="0" borderId="0" xfId="2" applyNumberFormat="1" applyFont="1" applyFill="1" applyProtection="1">
      <protection locked="0"/>
    </xf>
    <xf numFmtId="164" fontId="3" fillId="0" borderId="0" xfId="2" applyNumberFormat="1" applyFont="1" applyFill="1" applyBorder="1" applyAlignment="1" applyProtection="1">
      <alignment horizontal="center" vertical="top" wrapText="1"/>
      <protection locked="0"/>
    </xf>
    <xf numFmtId="164" fontId="4" fillId="0" borderId="0" xfId="2" applyNumberFormat="1" applyFont="1" applyFill="1" applyAlignment="1" applyProtection="1">
      <alignment horizontal="center" vertical="center" wrapText="1"/>
      <protection locked="0"/>
    </xf>
    <xf numFmtId="164" fontId="5" fillId="0" borderId="0" xfId="2" applyNumberFormat="1" applyFont="1" applyFill="1" applyAlignment="1" applyProtection="1">
      <alignment vertical="center" wrapText="1"/>
      <protection locked="0"/>
    </xf>
    <xf numFmtId="164" fontId="3" fillId="0" borderId="0" xfId="2" applyNumberFormat="1" applyFont="1" applyFill="1" applyAlignment="1" applyProtection="1">
      <alignment vertical="center" wrapText="1"/>
      <protection locked="0"/>
    </xf>
    <xf numFmtId="164" fontId="5" fillId="0" borderId="0" xfId="2" applyNumberFormat="1" applyFont="1" applyFill="1" applyBorder="1" applyAlignment="1" applyProtection="1">
      <alignment vertical="center" wrapText="1"/>
      <protection locked="0"/>
    </xf>
    <xf numFmtId="164" fontId="3" fillId="0" borderId="0" xfId="2" applyNumberFormat="1" applyFont="1" applyFill="1" applyBorder="1" applyAlignment="1" applyProtection="1">
      <alignment vertical="center" wrapText="1"/>
      <protection locked="0"/>
    </xf>
    <xf numFmtId="164" fontId="0" fillId="0" borderId="0" xfId="2" applyNumberFormat="1" applyFont="1" applyFill="1" applyBorder="1" applyProtection="1">
      <protection locked="0"/>
    </xf>
    <xf numFmtId="164" fontId="5" fillId="0" borderId="0" xfId="2" applyNumberFormat="1" applyFont="1" applyFill="1" applyBorder="1" applyAlignment="1" applyProtection="1">
      <alignment horizontal="left" vertical="center" wrapText="1"/>
      <protection locked="0"/>
    </xf>
    <xf numFmtId="164" fontId="4" fillId="0" borderId="0" xfId="2" applyNumberFormat="1" applyFont="1" applyFill="1" applyBorder="1" applyAlignment="1" applyProtection="1">
      <alignment horizontal="center" vertical="center" wrapText="1"/>
      <protection locked="0"/>
    </xf>
    <xf numFmtId="164" fontId="5" fillId="0" borderId="0" xfId="2" applyNumberFormat="1" applyFont="1" applyFill="1" applyBorder="1" applyAlignment="1" applyProtection="1">
      <alignment horizontal="justify" vertical="center" wrapText="1"/>
      <protection locked="0"/>
    </xf>
    <xf numFmtId="164" fontId="6" fillId="0" borderId="0" xfId="2" applyNumberFormat="1" applyFont="1" applyFill="1" applyBorder="1" applyAlignment="1" applyProtection="1">
      <alignment horizontal="center" vertical="center" wrapText="1"/>
      <protection locked="0"/>
    </xf>
    <xf numFmtId="0" fontId="7" fillId="0" borderId="0" xfId="0" applyFont="1" applyProtection="1">
      <protection locked="0"/>
    </xf>
    <xf numFmtId="0" fontId="7" fillId="0" borderId="0" xfId="0" applyFont="1" applyAlignment="1" applyProtection="1">
      <alignment horizontal="center"/>
      <protection locked="0"/>
    </xf>
    <xf numFmtId="0" fontId="7" fillId="0" borderId="0" xfId="0" applyFont="1" applyAlignment="1" applyProtection="1">
      <alignment horizontal="center" vertical="center"/>
      <protection locked="0"/>
    </xf>
    <xf numFmtId="164" fontId="7" fillId="0" borderId="0" xfId="2" applyNumberFormat="1" applyFont="1" applyProtection="1">
      <protection locked="0"/>
    </xf>
    <xf numFmtId="0" fontId="7" fillId="0" borderId="0" xfId="0" applyFont="1" applyAlignment="1" applyProtection="1">
      <alignment vertical="top" wrapText="1"/>
      <protection locked="0"/>
    </xf>
    <xf numFmtId="0" fontId="7" fillId="0" borderId="0" xfId="0" applyFont="1" applyAlignment="1" applyProtection="1">
      <alignment horizontal="center" vertical="center" wrapText="1"/>
      <protection locked="0"/>
    </xf>
    <xf numFmtId="164" fontId="7" fillId="0" borderId="0" xfId="2" applyNumberFormat="1" applyFont="1" applyFill="1" applyBorder="1" applyAlignment="1" applyProtection="1">
      <alignment horizontal="justify" vertical="center" wrapText="1"/>
      <protection locked="0"/>
    </xf>
    <xf numFmtId="0" fontId="2" fillId="0" borderId="0" xfId="0" applyFont="1" applyAlignment="1" applyProtection="1">
      <alignment horizontal="center" vertical="top" wrapText="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vertical="center" wrapText="1"/>
      <protection locked="0"/>
    </xf>
    <xf numFmtId="164" fontId="2" fillId="0" borderId="0" xfId="2" applyNumberFormat="1" applyFont="1" applyBorder="1" applyAlignment="1" applyProtection="1">
      <alignment horizontal="center" vertical="top"/>
      <protection locked="0"/>
    </xf>
    <xf numFmtId="44" fontId="9" fillId="0" borderId="0" xfId="1" applyFont="1" applyFill="1" applyBorder="1" applyAlignment="1" applyProtection="1">
      <alignment vertical="center"/>
      <protection locked="0"/>
    </xf>
    <xf numFmtId="44" fontId="11" fillId="0" borderId="0" xfId="1" applyFont="1" applyFill="1" applyBorder="1" applyAlignment="1" applyProtection="1">
      <alignment vertical="center"/>
      <protection locked="0"/>
    </xf>
    <xf numFmtId="164" fontId="2" fillId="0" borderId="0" xfId="2" applyNumberFormat="1" applyFont="1" applyBorder="1" applyAlignment="1" applyProtection="1">
      <alignment horizontal="left"/>
      <protection locked="0"/>
    </xf>
    <xf numFmtId="164" fontId="0" fillId="0" borderId="0" xfId="2" applyNumberFormat="1" applyFont="1" applyAlignment="1" applyProtection="1">
      <alignment horizontal="justify" vertical="center" wrapText="1"/>
      <protection locked="0"/>
    </xf>
    <xf numFmtId="0" fontId="12" fillId="0" borderId="0" xfId="0" applyFont="1" applyProtection="1">
      <protection locked="0"/>
    </xf>
    <xf numFmtId="0" fontId="12" fillId="0" borderId="0" xfId="0" applyFont="1" applyAlignment="1" applyProtection="1">
      <alignment horizontal="center"/>
      <protection locked="0"/>
    </xf>
    <xf numFmtId="0" fontId="12" fillId="0" borderId="0" xfId="0" applyFont="1" applyAlignment="1" applyProtection="1">
      <alignment horizontal="center" vertical="center"/>
      <protection locked="0"/>
    </xf>
    <xf numFmtId="164" fontId="12" fillId="0" borderId="0" xfId="2" applyNumberFormat="1" applyFont="1" applyProtection="1">
      <protection locked="0"/>
    </xf>
    <xf numFmtId="0" fontId="12" fillId="0" borderId="0" xfId="0" applyFont="1" applyAlignment="1" applyProtection="1">
      <alignment vertical="center"/>
      <protection locked="0"/>
    </xf>
    <xf numFmtId="49" fontId="12" fillId="0" borderId="5" xfId="0" applyNumberFormat="1" applyFont="1" applyBorder="1" applyAlignment="1" applyProtection="1">
      <alignment horizontal="center" vertical="center"/>
      <protection locked="0"/>
    </xf>
    <xf numFmtId="44" fontId="12" fillId="0" borderId="7" xfId="1" applyFont="1" applyBorder="1" applyAlignment="1" applyProtection="1">
      <alignment horizontal="right" vertical="center" wrapText="1"/>
      <protection locked="0"/>
    </xf>
    <xf numFmtId="44" fontId="12" fillId="0" borderId="9" xfId="1" applyFont="1" applyBorder="1" applyAlignment="1" applyProtection="1">
      <alignment horizontal="right" vertical="center" wrapText="1"/>
      <protection locked="0"/>
    </xf>
    <xf numFmtId="49" fontId="12" fillId="0" borderId="7" xfId="0" applyNumberFormat="1" applyFont="1" applyBorder="1" applyAlignment="1" applyProtection="1">
      <alignment horizontal="center" vertical="center"/>
      <protection locked="0"/>
    </xf>
    <xf numFmtId="44" fontId="12" fillId="0" borderId="10" xfId="1" applyFont="1" applyBorder="1" applyAlignment="1" applyProtection="1">
      <alignment horizontal="right" vertical="center" wrapText="1"/>
      <protection locked="0"/>
    </xf>
    <xf numFmtId="44" fontId="12" fillId="0" borderId="11" xfId="1" applyFont="1" applyBorder="1" applyAlignment="1" applyProtection="1">
      <alignment horizontal="right" vertical="center" wrapText="1"/>
      <protection locked="0"/>
    </xf>
    <xf numFmtId="44" fontId="12" fillId="0" borderId="5" xfId="1" applyFont="1" applyBorder="1" applyAlignment="1" applyProtection="1">
      <alignment horizontal="right" vertical="center" wrapText="1"/>
      <protection locked="0"/>
    </xf>
    <xf numFmtId="49" fontId="12" fillId="0" borderId="6" xfId="0" applyNumberFormat="1" applyFont="1" applyBorder="1" applyAlignment="1" applyProtection="1">
      <alignment horizontal="left" vertical="center" wrapText="1"/>
      <protection locked="0"/>
    </xf>
    <xf numFmtId="49" fontId="12" fillId="0" borderId="13" xfId="0" applyNumberFormat="1" applyFont="1" applyBorder="1" applyAlignment="1" applyProtection="1">
      <alignment horizontal="center" vertical="center"/>
      <protection locked="0"/>
    </xf>
    <xf numFmtId="44" fontId="12" fillId="0" borderId="14" xfId="1" applyFont="1" applyBorder="1" applyAlignment="1" applyProtection="1">
      <alignment horizontal="right" vertical="center" wrapText="1"/>
      <protection locked="0"/>
    </xf>
    <xf numFmtId="44" fontId="12" fillId="0" borderId="15" xfId="1" applyFont="1" applyBorder="1" applyAlignment="1" applyProtection="1">
      <alignment horizontal="right" vertical="center" wrapText="1"/>
      <protection locked="0"/>
    </xf>
    <xf numFmtId="49" fontId="12" fillId="0" borderId="14" xfId="0" applyNumberFormat="1" applyFont="1" applyBorder="1" applyAlignment="1" applyProtection="1">
      <alignment horizontal="center" vertical="center"/>
      <protection locked="0"/>
    </xf>
    <xf numFmtId="44" fontId="12" fillId="0" borderId="16" xfId="1" applyFont="1" applyBorder="1" applyAlignment="1" applyProtection="1">
      <alignment horizontal="right" vertical="center" wrapText="1"/>
      <protection locked="0"/>
    </xf>
    <xf numFmtId="44" fontId="12" fillId="0" borderId="17" xfId="1" applyFont="1" applyBorder="1" applyAlignment="1" applyProtection="1">
      <alignment horizontal="right" vertical="center" wrapText="1"/>
      <protection locked="0"/>
    </xf>
    <xf numFmtId="44" fontId="12" fillId="0" borderId="13" xfId="1" applyFont="1" applyBorder="1" applyAlignment="1" applyProtection="1">
      <alignment horizontal="right" vertical="center" wrapText="1"/>
      <protection locked="0"/>
    </xf>
    <xf numFmtId="49" fontId="12" fillId="0" borderId="18" xfId="0" applyNumberFormat="1" applyFont="1" applyBorder="1" applyAlignment="1" applyProtection="1">
      <alignment horizontal="left" vertical="center" wrapText="1"/>
      <protection locked="0"/>
    </xf>
    <xf numFmtId="49" fontId="12" fillId="0" borderId="14" xfId="0" applyNumberFormat="1" applyFont="1" applyBorder="1" applyAlignment="1" applyProtection="1">
      <alignment vertical="center" wrapText="1"/>
      <protection locked="0"/>
    </xf>
    <xf numFmtId="44" fontId="12" fillId="0" borderId="20" xfId="1" applyFont="1" applyBorder="1" applyAlignment="1" applyProtection="1">
      <alignment horizontal="right" vertical="center" wrapText="1"/>
      <protection locked="0"/>
    </xf>
    <xf numFmtId="44" fontId="12" fillId="0" borderId="21" xfId="1" applyFont="1" applyBorder="1" applyAlignment="1" applyProtection="1">
      <alignment horizontal="right" vertical="center" wrapText="1"/>
      <protection locked="0"/>
    </xf>
    <xf numFmtId="49" fontId="12" fillId="0" borderId="22" xfId="0" applyNumberFormat="1" applyFont="1" applyBorder="1" applyAlignment="1" applyProtection="1">
      <alignment horizontal="left" vertical="center" wrapText="1"/>
      <protection locked="0"/>
    </xf>
    <xf numFmtId="49" fontId="12" fillId="0" borderId="18" xfId="0" applyNumberFormat="1" applyFont="1" applyBorder="1" applyAlignment="1" applyProtection="1">
      <alignment vertical="center" wrapText="1"/>
      <protection locked="0"/>
    </xf>
    <xf numFmtId="49" fontId="12" fillId="0" borderId="14" xfId="0" applyNumberFormat="1" applyFont="1" applyBorder="1" applyAlignment="1" applyProtection="1">
      <alignment horizontal="left" vertical="center" wrapText="1"/>
      <protection locked="0"/>
    </xf>
    <xf numFmtId="49" fontId="12" fillId="0" borderId="24" xfId="0" applyNumberFormat="1" applyFont="1" applyBorder="1" applyAlignment="1" applyProtection="1">
      <alignment horizontal="center" vertical="center"/>
      <protection locked="0"/>
    </xf>
    <xf numFmtId="44" fontId="12" fillId="0" borderId="26" xfId="1" applyFont="1" applyBorder="1" applyAlignment="1" applyProtection="1">
      <alignment horizontal="right" vertical="center" wrapText="1"/>
      <protection locked="0"/>
    </xf>
    <xf numFmtId="44" fontId="12" fillId="0" borderId="27" xfId="1" applyFont="1" applyBorder="1" applyAlignment="1" applyProtection="1">
      <alignment horizontal="right" vertical="center" wrapText="1"/>
      <protection locked="0"/>
    </xf>
    <xf numFmtId="44" fontId="12" fillId="0" borderId="28" xfId="1" applyFont="1" applyBorder="1" applyAlignment="1" applyProtection="1">
      <alignment horizontal="right" vertical="center" wrapText="1"/>
      <protection locked="0"/>
    </xf>
    <xf numFmtId="49" fontId="12" fillId="0" borderId="26" xfId="0" applyNumberFormat="1" applyFont="1" applyBorder="1" applyAlignment="1" applyProtection="1">
      <alignment horizontal="center" vertical="center"/>
      <protection locked="0"/>
    </xf>
    <xf numFmtId="44" fontId="12" fillId="0" borderId="29" xfId="1" applyFont="1" applyBorder="1" applyAlignment="1" applyProtection="1">
      <alignment horizontal="right" vertical="center" wrapText="1"/>
      <protection locked="0"/>
    </xf>
    <xf numFmtId="44" fontId="12" fillId="0" borderId="24" xfId="1" applyFont="1" applyBorder="1" applyAlignment="1" applyProtection="1">
      <alignment horizontal="right" vertical="center" wrapText="1"/>
      <protection locked="0"/>
    </xf>
    <xf numFmtId="49" fontId="12" fillId="0" borderId="25" xfId="0" applyNumberFormat="1" applyFont="1" applyBorder="1" applyAlignment="1" applyProtection="1">
      <alignment vertical="center" wrapText="1"/>
      <protection locked="0"/>
    </xf>
    <xf numFmtId="0" fontId="0" fillId="0" borderId="0" xfId="0" applyAlignment="1" applyProtection="1">
      <alignment horizontal="center" vertical="center" wrapText="1"/>
      <protection locked="0"/>
    </xf>
    <xf numFmtId="0" fontId="31" fillId="0" borderId="32" xfId="4" applyFont="1" applyBorder="1" applyAlignment="1" applyProtection="1">
      <alignment horizontal="left" vertical="center"/>
      <protection locked="0"/>
    </xf>
    <xf numFmtId="0" fontId="29" fillId="0" borderId="32" xfId="4" applyBorder="1" applyAlignment="1" applyProtection="1">
      <alignment vertical="center"/>
      <protection locked="0"/>
    </xf>
    <xf numFmtId="0" fontId="29" fillId="0" borderId="14" xfId="4" applyBorder="1" applyAlignment="1" applyProtection="1">
      <alignment horizontal="left" vertical="center"/>
      <protection locked="0"/>
    </xf>
    <xf numFmtId="0" fontId="29" fillId="0" borderId="14" xfId="4" applyBorder="1" applyAlignment="1" applyProtection="1">
      <alignment vertical="center"/>
      <protection locked="0"/>
    </xf>
    <xf numFmtId="0" fontId="29" fillId="0" borderId="4" xfId="4" applyBorder="1" applyAlignment="1" applyProtection="1">
      <alignment vertical="center"/>
      <protection locked="0"/>
    </xf>
    <xf numFmtId="0" fontId="29" fillId="0" borderId="4" xfId="4" applyBorder="1" applyAlignment="1" applyProtection="1">
      <alignment horizontal="left" vertical="center"/>
      <protection locked="0"/>
    </xf>
    <xf numFmtId="4" fontId="30" fillId="0" borderId="0" xfId="4" applyNumberFormat="1" applyFont="1" applyAlignment="1" applyProtection="1">
      <alignment vertical="center"/>
      <protection locked="0"/>
    </xf>
    <xf numFmtId="49" fontId="0" fillId="0" borderId="0" xfId="0" applyNumberFormat="1" applyProtection="1">
      <protection locked="0"/>
    </xf>
    <xf numFmtId="49" fontId="2" fillId="0" borderId="0" xfId="0" applyNumberFormat="1" applyFont="1" applyAlignment="1" applyProtection="1">
      <alignment horizontal="center"/>
      <protection locked="0"/>
    </xf>
    <xf numFmtId="49" fontId="2" fillId="0" borderId="0" xfId="0" applyNumberFormat="1" applyFont="1" applyAlignment="1" applyProtection="1">
      <alignment vertical="center"/>
      <protection locked="0"/>
    </xf>
    <xf numFmtId="0" fontId="13" fillId="0" borderId="0" xfId="0"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14" fontId="12" fillId="0" borderId="0" xfId="0" applyNumberFormat="1" applyFont="1" applyAlignment="1" applyProtection="1">
      <alignment horizontal="center" vertical="center"/>
      <protection locked="0"/>
    </xf>
    <xf numFmtId="0" fontId="0" fillId="0" borderId="0" xfId="0" applyAlignment="1" applyProtection="1">
      <alignment horizontal="justify" vertical="center" wrapText="1"/>
      <protection locked="0"/>
    </xf>
    <xf numFmtId="0" fontId="2" fillId="0" borderId="0" xfId="0" applyFont="1" applyAlignment="1" applyProtection="1">
      <alignment horizontal="left"/>
      <protection locked="0"/>
    </xf>
    <xf numFmtId="0" fontId="2" fillId="0" borderId="0" xfId="0" applyFont="1" applyAlignment="1" applyProtection="1">
      <alignment horizontal="center" vertical="top"/>
      <protection locked="0"/>
    </xf>
    <xf numFmtId="0" fontId="7" fillId="0" borderId="0" xfId="0" applyFont="1" applyAlignment="1" applyProtection="1">
      <alignment horizontal="justify" vertical="center" wrapText="1"/>
      <protection locked="0"/>
    </xf>
    <xf numFmtId="0" fontId="4"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5" fillId="0" borderId="0" xfId="0" applyFont="1" applyAlignment="1" applyProtection="1">
      <alignment horizontal="justify" vertical="center" wrapText="1"/>
      <protection locked="0"/>
    </xf>
    <xf numFmtId="0" fontId="3" fillId="0" borderId="0" xfId="3" applyFill="1" applyBorder="1" applyAlignment="1" applyProtection="1">
      <alignment horizontal="center" vertical="top" wrapText="1"/>
      <protection locked="0"/>
    </xf>
    <xf numFmtId="0" fontId="5" fillId="0" borderId="0" xfId="0" applyFont="1" applyAlignment="1" applyProtection="1">
      <alignment horizontal="left" vertical="center" wrapText="1"/>
      <protection locked="0"/>
    </xf>
    <xf numFmtId="0" fontId="3" fillId="0" borderId="0" xfId="3" applyFill="1" applyBorder="1" applyAlignment="1" applyProtection="1">
      <alignment vertical="center" wrapText="1"/>
      <protection locked="0"/>
    </xf>
    <xf numFmtId="0" fontId="5" fillId="0" borderId="0" xfId="0" applyFont="1" applyAlignment="1" applyProtection="1">
      <alignment vertical="center" wrapText="1"/>
      <protection locked="0"/>
    </xf>
    <xf numFmtId="0" fontId="3" fillId="0" borderId="0" xfId="3" applyFill="1" applyAlignment="1" applyProtection="1">
      <alignment vertical="center" wrapText="1"/>
      <protection locked="0"/>
    </xf>
    <xf numFmtId="49" fontId="0" fillId="0" borderId="0" xfId="0" applyNumberFormat="1"/>
    <xf numFmtId="44" fontId="0" fillId="0" borderId="0" xfId="1" applyFont="1" applyProtection="1"/>
    <xf numFmtId="44" fontId="1" fillId="0" borderId="0" xfId="1" applyFont="1" applyProtection="1"/>
    <xf numFmtId="49" fontId="26" fillId="0" borderId="0" xfId="0" applyNumberFormat="1" applyFont="1" applyAlignment="1">
      <alignment vertical="center"/>
    </xf>
    <xf numFmtId="0" fontId="22" fillId="0" borderId="0" xfId="0" quotePrefix="1"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2" fillId="0" borderId="0" xfId="0" applyFont="1" applyAlignment="1">
      <alignment vertical="center"/>
    </xf>
    <xf numFmtId="0" fontId="12" fillId="0" borderId="0" xfId="0" applyFont="1"/>
    <xf numFmtId="49" fontId="12" fillId="0" borderId="0" xfId="0" applyNumberFormat="1" applyFont="1"/>
    <xf numFmtId="0" fontId="0" fillId="0" borderId="0" xfId="0" applyAlignment="1">
      <alignment vertical="center" wrapText="1"/>
    </xf>
    <xf numFmtId="0" fontId="10" fillId="0" borderId="0" xfId="0" applyFont="1" applyAlignment="1">
      <alignment vertical="center"/>
    </xf>
    <xf numFmtId="0" fontId="10" fillId="0" borderId="0" xfId="0" applyFont="1" applyAlignment="1">
      <alignment vertical="top"/>
    </xf>
    <xf numFmtId="0" fontId="7" fillId="0" borderId="0" xfId="0" applyFont="1"/>
    <xf numFmtId="49" fontId="8" fillId="0" borderId="0" xfId="0" applyNumberFormat="1" applyFont="1" applyAlignment="1">
      <alignment vertical="center" wrapText="1"/>
    </xf>
    <xf numFmtId="44" fontId="0" fillId="0" borderId="0" xfId="1" applyFont="1" applyAlignment="1" applyProtection="1">
      <alignment wrapText="1"/>
    </xf>
    <xf numFmtId="44" fontId="1" fillId="0" borderId="0" xfId="1" applyFont="1" applyAlignment="1" applyProtection="1">
      <alignment wrapText="1"/>
    </xf>
    <xf numFmtId="49" fontId="0" fillId="0" borderId="0" xfId="0" applyNumberFormat="1" applyAlignment="1">
      <alignment wrapText="1"/>
    </xf>
    <xf numFmtId="44" fontId="12" fillId="6" borderId="30" xfId="1" applyFont="1" applyFill="1" applyBorder="1" applyAlignment="1" applyProtection="1">
      <alignment horizontal="right" vertical="center" wrapText="1"/>
    </xf>
    <xf numFmtId="44" fontId="12" fillId="6" borderId="8" xfId="1" applyFont="1" applyFill="1" applyBorder="1" applyAlignment="1" applyProtection="1">
      <alignment horizontal="right" vertical="center" wrapText="1"/>
    </xf>
    <xf numFmtId="44" fontId="10" fillId="6" borderId="14" xfId="1" quotePrefix="1" applyFont="1" applyFill="1" applyBorder="1" applyAlignment="1" applyProtection="1">
      <alignment horizontal="center" vertical="center" wrapText="1"/>
    </xf>
    <xf numFmtId="44" fontId="10" fillId="6" borderId="21" xfId="1" quotePrefix="1" applyFont="1" applyFill="1" applyBorder="1" applyAlignment="1" applyProtection="1">
      <alignment horizontal="center" vertical="center" wrapText="1"/>
    </xf>
    <xf numFmtId="49" fontId="10" fillId="6" borderId="21" xfId="0" quotePrefix="1" applyNumberFormat="1" applyFont="1" applyFill="1" applyBorder="1" applyAlignment="1">
      <alignment horizontal="center" vertical="center" wrapText="1"/>
    </xf>
    <xf numFmtId="0" fontId="10" fillId="6" borderId="32" xfId="0" applyFont="1" applyFill="1" applyBorder="1" applyAlignment="1">
      <alignment horizontal="center" vertical="center" wrapText="1"/>
    </xf>
    <xf numFmtId="0" fontId="15" fillId="0" borderId="34" xfId="0" applyFont="1" applyBorder="1" applyAlignment="1" applyProtection="1">
      <alignment horizontal="center" vertical="center" wrapText="1"/>
      <protection locked="0"/>
    </xf>
    <xf numFmtId="165" fontId="14" fillId="6" borderId="4" xfId="1" applyNumberFormat="1" applyFont="1" applyFill="1" applyBorder="1" applyAlignment="1" applyProtection="1">
      <alignment vertical="center"/>
    </xf>
    <xf numFmtId="4" fontId="29" fillId="0" borderId="14" xfId="4" applyNumberFormat="1" applyBorder="1" applyAlignment="1" applyProtection="1">
      <alignment vertical="center"/>
      <protection locked="0"/>
    </xf>
    <xf numFmtId="4" fontId="29" fillId="0" borderId="4" xfId="4" applyNumberFormat="1" applyBorder="1" applyAlignment="1" applyProtection="1">
      <alignment vertical="center"/>
      <protection locked="0"/>
    </xf>
    <xf numFmtId="0" fontId="29" fillId="0" borderId="14" xfId="4" applyBorder="1" applyProtection="1">
      <protection locked="0"/>
    </xf>
    <xf numFmtId="0" fontId="30" fillId="0" borderId="0" xfId="4" applyFont="1" applyProtection="1">
      <protection locked="0"/>
    </xf>
    <xf numFmtId="0" fontId="29" fillId="0" borderId="32" xfId="4" applyBorder="1" applyProtection="1">
      <protection locked="0"/>
    </xf>
    <xf numFmtId="0" fontId="29" fillId="0" borderId="0" xfId="4" applyProtection="1">
      <protection locked="0"/>
    </xf>
    <xf numFmtId="0" fontId="30" fillId="0" borderId="0" xfId="4" applyFont="1" applyAlignment="1" applyProtection="1">
      <alignment wrapText="1"/>
      <protection locked="0"/>
    </xf>
    <xf numFmtId="0" fontId="30" fillId="0" borderId="0" xfId="4" applyFont="1" applyAlignment="1" applyProtection="1">
      <alignment vertical="center"/>
      <protection locked="0"/>
    </xf>
    <xf numFmtId="0" fontId="10" fillId="4" borderId="0" xfId="4" applyFont="1" applyFill="1" applyAlignment="1" applyProtection="1">
      <alignment horizontal="left" vertical="top"/>
      <protection locked="0"/>
    </xf>
    <xf numFmtId="1" fontId="29" fillId="0" borderId="0" xfId="4" applyNumberFormat="1" applyProtection="1">
      <protection locked="0"/>
    </xf>
    <xf numFmtId="0" fontId="10" fillId="0" borderId="0" xfId="4" applyFont="1" applyAlignment="1" applyProtection="1">
      <alignment horizontal="left" vertical="top"/>
      <protection locked="0"/>
    </xf>
    <xf numFmtId="0" fontId="30" fillId="0" borderId="0" xfId="4" applyFont="1" applyAlignment="1" applyProtection="1">
      <alignment horizontal="left"/>
      <protection locked="0"/>
    </xf>
    <xf numFmtId="2" fontId="12" fillId="0" borderId="14" xfId="0" applyNumberFormat="1" applyFont="1" applyBorder="1" applyAlignment="1" applyProtection="1">
      <alignment horizontal="center" vertical="center" wrapText="1"/>
      <protection locked="0"/>
    </xf>
    <xf numFmtId="44" fontId="12" fillId="0" borderId="31" xfId="1" applyFont="1" applyBorder="1" applyAlignment="1" applyProtection="1">
      <alignment horizontal="right" vertical="center" wrapText="1"/>
      <protection locked="0"/>
    </xf>
    <xf numFmtId="2" fontId="12" fillId="0" borderId="26" xfId="0" applyNumberFormat="1" applyFont="1" applyBorder="1" applyAlignment="1" applyProtection="1">
      <alignment horizontal="center" vertical="center" wrapText="1"/>
      <protection locked="0"/>
    </xf>
    <xf numFmtId="44" fontId="12" fillId="0" borderId="19" xfId="1" applyFont="1" applyBorder="1" applyAlignment="1" applyProtection="1">
      <alignment horizontal="right" vertical="center" wrapText="1"/>
      <protection locked="0"/>
    </xf>
    <xf numFmtId="44" fontId="12" fillId="0" borderId="12" xfId="1" applyFont="1" applyBorder="1" applyAlignment="1" applyProtection="1">
      <alignment horizontal="right" vertical="center" wrapText="1"/>
      <protection locked="0"/>
    </xf>
    <xf numFmtId="2" fontId="12" fillId="0" borderId="7" xfId="0" applyNumberFormat="1" applyFont="1" applyBorder="1" applyAlignment="1" applyProtection="1">
      <alignment horizontal="center" vertical="center" wrapText="1"/>
      <protection locked="0"/>
    </xf>
    <xf numFmtId="166" fontId="29" fillId="0" borderId="14" xfId="4" applyNumberFormat="1" applyBorder="1" applyAlignment="1" applyProtection="1">
      <alignment vertical="center"/>
      <protection locked="0"/>
    </xf>
    <xf numFmtId="166" fontId="29" fillId="0" borderId="32" xfId="4" applyNumberFormat="1" applyBorder="1" applyAlignment="1" applyProtection="1">
      <alignment vertical="center"/>
      <protection locked="0"/>
    </xf>
    <xf numFmtId="166" fontId="29" fillId="0" borderId="14" xfId="4" applyNumberFormat="1" applyBorder="1" applyAlignment="1" applyProtection="1">
      <alignment horizontal="right" vertical="center"/>
      <protection locked="0"/>
    </xf>
    <xf numFmtId="166" fontId="29" fillId="0" borderId="4" xfId="4" applyNumberFormat="1" applyBorder="1" applyAlignment="1" applyProtection="1">
      <alignment vertical="center"/>
      <protection locked="0"/>
    </xf>
    <xf numFmtId="166" fontId="29" fillId="0" borderId="32" xfId="4" applyNumberFormat="1" applyBorder="1" applyAlignment="1" applyProtection="1">
      <alignment horizontal="right" vertical="center"/>
      <protection locked="0"/>
    </xf>
    <xf numFmtId="0" fontId="34" fillId="5" borderId="14" xfId="4" applyFont="1" applyFill="1" applyBorder="1" applyAlignment="1" applyProtection="1">
      <alignment vertical="center" wrapText="1"/>
      <protection hidden="1"/>
    </xf>
    <xf numFmtId="14" fontId="36" fillId="0" borderId="14" xfId="4" applyNumberFormat="1" applyFont="1" applyBorder="1" applyAlignment="1" applyProtection="1">
      <alignment horizontal="center" vertical="center" wrapText="1"/>
      <protection locked="0"/>
    </xf>
    <xf numFmtId="14" fontId="36" fillId="0" borderId="14" xfId="4" applyNumberFormat="1" applyFont="1" applyBorder="1" applyAlignment="1" applyProtection="1">
      <alignment horizontal="center" vertical="center"/>
      <protection locked="0"/>
    </xf>
    <xf numFmtId="0" fontId="33" fillId="0" borderId="0" xfId="4" applyFont="1" applyAlignment="1" applyProtection="1">
      <alignment vertical="center"/>
      <protection hidden="1"/>
    </xf>
    <xf numFmtId="0" fontId="29" fillId="0" borderId="0" xfId="4" applyProtection="1">
      <protection hidden="1"/>
    </xf>
    <xf numFmtId="0" fontId="31" fillId="7" borderId="0" xfId="4" applyFont="1" applyFill="1" applyAlignment="1" applyProtection="1">
      <alignment vertical="center" wrapText="1"/>
      <protection hidden="1"/>
    </xf>
    <xf numFmtId="0" fontId="31" fillId="0" borderId="0" xfId="4" applyFont="1" applyAlignment="1" applyProtection="1">
      <alignment vertical="center"/>
      <protection hidden="1"/>
    </xf>
    <xf numFmtId="0" fontId="31" fillId="0" borderId="30" xfId="4" applyFont="1" applyBorder="1" applyAlignment="1" applyProtection="1">
      <alignment vertical="center" wrapText="1"/>
      <protection hidden="1"/>
    </xf>
    <xf numFmtId="0" fontId="31" fillId="0" borderId="30" xfId="4" applyFont="1" applyBorder="1" applyAlignment="1" applyProtection="1">
      <alignment vertical="center"/>
      <protection hidden="1"/>
    </xf>
    <xf numFmtId="0" fontId="31" fillId="5" borderId="14" xfId="4" applyFont="1" applyFill="1" applyBorder="1" applyAlignment="1" applyProtection="1">
      <alignment horizontal="center" vertical="center"/>
      <protection hidden="1"/>
    </xf>
    <xf numFmtId="0" fontId="31" fillId="0" borderId="14" xfId="4" applyFont="1" applyBorder="1" applyAlignment="1" applyProtection="1">
      <alignment horizontal="center" vertical="center"/>
      <protection hidden="1"/>
    </xf>
    <xf numFmtId="0" fontId="31" fillId="6" borderId="14" xfId="4" applyFont="1" applyFill="1" applyBorder="1" applyAlignment="1" applyProtection="1">
      <alignment horizontal="left" vertical="center" wrapText="1"/>
      <protection hidden="1"/>
    </xf>
    <xf numFmtId="0" fontId="31" fillId="0" borderId="14" xfId="4" applyFont="1" applyBorder="1" applyAlignment="1" applyProtection="1">
      <alignment horizontal="center" vertical="center" wrapText="1"/>
      <protection hidden="1"/>
    </xf>
    <xf numFmtId="0" fontId="31" fillId="6" borderId="14" xfId="4" applyFont="1" applyFill="1" applyBorder="1" applyAlignment="1" applyProtection="1">
      <alignment horizontal="center" vertical="center" wrapText="1"/>
      <protection hidden="1"/>
    </xf>
    <xf numFmtId="0" fontId="2" fillId="6" borderId="14" xfId="4" applyFont="1" applyFill="1" applyBorder="1" applyAlignment="1" applyProtection="1">
      <alignment horizontal="center" vertical="center"/>
      <protection hidden="1"/>
    </xf>
    <xf numFmtId="0" fontId="2" fillId="6" borderId="14" xfId="4" applyFont="1" applyFill="1" applyBorder="1" applyAlignment="1" applyProtection="1">
      <alignment horizontal="center" vertical="center" wrapText="1"/>
      <protection hidden="1"/>
    </xf>
    <xf numFmtId="1" fontId="2" fillId="5" borderId="14" xfId="4" applyNumberFormat="1" applyFont="1" applyFill="1" applyBorder="1" applyAlignment="1" applyProtection="1">
      <alignment horizontal="center" vertical="center"/>
      <protection hidden="1"/>
    </xf>
    <xf numFmtId="4" fontId="31" fillId="5" borderId="14" xfId="4" applyNumberFormat="1" applyFont="1" applyFill="1" applyBorder="1" applyAlignment="1" applyProtection="1">
      <alignment horizontal="center" vertical="center"/>
      <protection hidden="1"/>
    </xf>
    <xf numFmtId="0" fontId="31" fillId="0" borderId="14" xfId="4" applyFont="1" applyBorder="1" applyAlignment="1" applyProtection="1">
      <alignment vertical="center"/>
      <protection hidden="1"/>
    </xf>
    <xf numFmtId="0" fontId="31" fillId="6" borderId="58" xfId="4" applyFont="1" applyFill="1" applyBorder="1" applyAlignment="1" applyProtection="1">
      <alignment horizontal="left" vertical="center"/>
      <protection hidden="1"/>
    </xf>
    <xf numFmtId="0" fontId="31" fillId="6" borderId="54" xfId="4" applyFont="1" applyFill="1" applyBorder="1" applyAlignment="1" applyProtection="1">
      <alignment horizontal="right" vertical="center"/>
      <protection hidden="1"/>
    </xf>
    <xf numFmtId="166" fontId="31" fillId="6" borderId="54" xfId="4" applyNumberFormat="1" applyFont="1" applyFill="1" applyBorder="1" applyAlignment="1" applyProtection="1">
      <alignment vertical="center"/>
      <protection hidden="1"/>
    </xf>
    <xf numFmtId="0" fontId="31" fillId="0" borderId="54" xfId="4" applyFont="1" applyBorder="1" applyAlignment="1" applyProtection="1">
      <alignment vertical="center"/>
      <protection hidden="1"/>
    </xf>
    <xf numFmtId="0" fontId="31" fillId="6" borderId="54" xfId="4" applyFont="1" applyFill="1" applyBorder="1" applyAlignment="1" applyProtection="1">
      <alignment horizontal="left" vertical="center" wrapText="1"/>
      <protection hidden="1"/>
    </xf>
    <xf numFmtId="166" fontId="31" fillId="5" borderId="54" xfId="4" applyNumberFormat="1" applyFont="1" applyFill="1" applyBorder="1" applyAlignment="1" applyProtection="1">
      <alignment horizontal="right" vertical="center"/>
      <protection hidden="1"/>
    </xf>
    <xf numFmtId="164" fontId="31" fillId="0" borderId="53" xfId="4" applyNumberFormat="1" applyFont="1" applyBorder="1" applyAlignment="1" applyProtection="1">
      <alignment vertical="center"/>
      <protection hidden="1"/>
    </xf>
    <xf numFmtId="0" fontId="31" fillId="6" borderId="52" xfId="4" applyFont="1" applyFill="1" applyBorder="1" applyAlignment="1" applyProtection="1">
      <alignment horizontal="left" vertical="center" wrapText="1"/>
      <protection hidden="1"/>
    </xf>
    <xf numFmtId="0" fontId="31" fillId="0" borderId="48" xfId="4" applyFont="1" applyBorder="1" applyAlignment="1" applyProtection="1">
      <alignment vertical="center"/>
      <protection hidden="1"/>
    </xf>
    <xf numFmtId="0" fontId="31" fillId="6" borderId="48" xfId="4" applyFont="1" applyFill="1" applyBorder="1" applyAlignment="1" applyProtection="1">
      <alignment horizontal="left" vertical="center"/>
      <protection hidden="1"/>
    </xf>
    <xf numFmtId="4" fontId="31" fillId="6" borderId="59" xfId="4" applyNumberFormat="1" applyFont="1" applyFill="1" applyBorder="1" applyAlignment="1" applyProtection="1">
      <alignment horizontal="right" vertical="center"/>
      <protection hidden="1"/>
    </xf>
    <xf numFmtId="0" fontId="31" fillId="0" borderId="47" xfId="4" applyFont="1" applyBorder="1" applyProtection="1">
      <protection hidden="1"/>
    </xf>
    <xf numFmtId="166" fontId="29" fillId="5" borderId="4" xfId="4" applyNumberFormat="1" applyFill="1" applyBorder="1" applyAlignment="1" applyProtection="1">
      <alignment horizontal="right" vertical="center"/>
      <protection hidden="1"/>
    </xf>
    <xf numFmtId="166" fontId="29" fillId="5" borderId="14" xfId="4" applyNumberFormat="1" applyFill="1" applyBorder="1" applyAlignment="1" applyProtection="1">
      <alignment horizontal="right" vertical="center"/>
      <protection hidden="1"/>
    </xf>
    <xf numFmtId="4" fontId="31" fillId="6" borderId="54" xfId="4" applyNumberFormat="1" applyFont="1" applyFill="1" applyBorder="1" applyAlignment="1" applyProtection="1">
      <alignment vertical="center"/>
      <protection hidden="1"/>
    </xf>
    <xf numFmtId="0" fontId="31" fillId="6" borderId="54" xfId="4" applyFont="1" applyFill="1" applyBorder="1" applyAlignment="1" applyProtection="1">
      <alignment horizontal="left" vertical="center"/>
      <protection hidden="1"/>
    </xf>
    <xf numFmtId="0" fontId="31" fillId="6" borderId="52" xfId="4" applyFont="1" applyFill="1" applyBorder="1" applyAlignment="1" applyProtection="1">
      <alignment horizontal="left" vertical="center"/>
      <protection hidden="1"/>
    </xf>
    <xf numFmtId="166" fontId="31" fillId="6" borderId="48" xfId="4" applyNumberFormat="1" applyFont="1" applyFill="1" applyBorder="1" applyAlignment="1" applyProtection="1">
      <alignment vertical="center"/>
      <protection hidden="1"/>
    </xf>
    <xf numFmtId="4" fontId="31" fillId="6" borderId="48" xfId="4" applyNumberFormat="1" applyFont="1" applyFill="1" applyBorder="1" applyAlignment="1" applyProtection="1">
      <alignment vertical="center"/>
      <protection hidden="1"/>
    </xf>
    <xf numFmtId="166" fontId="31" fillId="5" borderId="48" xfId="4" applyNumberFormat="1" applyFont="1" applyFill="1" applyBorder="1" applyAlignment="1" applyProtection="1">
      <alignment horizontal="right" vertical="center"/>
      <protection hidden="1"/>
    </xf>
    <xf numFmtId="0" fontId="10" fillId="4" borderId="0" xfId="4" applyFont="1" applyFill="1" applyAlignment="1" applyProtection="1">
      <alignment horizontal="left" vertical="top"/>
      <protection hidden="1"/>
    </xf>
    <xf numFmtId="0" fontId="29" fillId="0" borderId="4" xfId="4" applyBorder="1" applyProtection="1">
      <protection locked="0"/>
    </xf>
    <xf numFmtId="0" fontId="37" fillId="0" borderId="0" xfId="0" applyFont="1" applyAlignment="1">
      <alignment vertical="center"/>
    </xf>
    <xf numFmtId="49" fontId="10" fillId="0" borderId="16" xfId="0" applyNumberFormat="1" applyFont="1" applyBorder="1"/>
    <xf numFmtId="0" fontId="10" fillId="0" borderId="16" xfId="0" applyFont="1" applyBorder="1" applyAlignment="1">
      <alignment vertical="center"/>
    </xf>
    <xf numFmtId="0" fontId="0" fillId="0" borderId="0" xfId="0" applyProtection="1">
      <protection hidden="1"/>
    </xf>
    <xf numFmtId="0" fontId="10" fillId="0" borderId="0" xfId="0" applyFont="1" applyAlignment="1" applyProtection="1">
      <alignment vertical="center"/>
      <protection hidden="1"/>
    </xf>
    <xf numFmtId="0" fontId="2" fillId="0" borderId="0" xfId="0" quotePrefix="1" applyFont="1" applyAlignment="1" applyProtection="1">
      <alignment vertical="center"/>
      <protection hidden="1"/>
    </xf>
    <xf numFmtId="0" fontId="2" fillId="0" borderId="0" xfId="0" quotePrefix="1" applyFont="1" applyAlignment="1" applyProtection="1">
      <alignment vertical="center" wrapText="1"/>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0" fillId="0" borderId="0" xfId="0" applyAlignment="1" applyProtection="1">
      <alignment horizontal="right" vertical="center"/>
      <protection hidden="1"/>
    </xf>
    <xf numFmtId="167" fontId="0" fillId="0" borderId="65" xfId="0" applyNumberFormat="1" applyBorder="1" applyAlignment="1" applyProtection="1">
      <alignment vertical="center"/>
      <protection locked="0"/>
    </xf>
    <xf numFmtId="0" fontId="8" fillId="0" borderId="0" xfId="0" applyFont="1" applyAlignment="1" applyProtection="1">
      <alignment horizontal="right" vertical="center"/>
      <protection hidden="1"/>
    </xf>
    <xf numFmtId="0" fontId="8" fillId="0" borderId="0" xfId="0" applyFont="1" applyAlignment="1" applyProtection="1">
      <alignment horizontal="right" vertical="center" wrapText="1"/>
      <protection hidden="1"/>
    </xf>
    <xf numFmtId="49" fontId="2" fillId="0" borderId="0" xfId="0" applyNumberFormat="1" applyFont="1" applyAlignment="1" applyProtection="1">
      <alignment horizontal="left" vertical="center" wrapText="1"/>
      <protection hidden="1"/>
    </xf>
    <xf numFmtId="14" fontId="2" fillId="0" borderId="65" xfId="0" applyNumberFormat="1" applyFont="1" applyBorder="1" applyAlignment="1" applyProtection="1">
      <alignment horizontal="center" vertical="center"/>
      <protection locked="0"/>
    </xf>
    <xf numFmtId="0" fontId="43" fillId="0" borderId="0" xfId="0" applyFont="1" applyAlignment="1" applyProtection="1">
      <alignment horizontal="center" vertical="center"/>
      <protection hidden="1"/>
    </xf>
    <xf numFmtId="0" fontId="0" fillId="0" borderId="65" xfId="0" applyBorder="1" applyAlignment="1" applyProtection="1">
      <alignment horizontal="center" vertical="center"/>
      <protection locked="0"/>
    </xf>
    <xf numFmtId="0" fontId="45" fillId="0" borderId="0" xfId="0" applyFont="1" applyProtection="1">
      <protection hidden="1"/>
    </xf>
    <xf numFmtId="0" fontId="0" fillId="0" borderId="0" xfId="0" applyAlignment="1" applyProtection="1">
      <alignment horizontal="left"/>
      <protection hidden="1"/>
    </xf>
    <xf numFmtId="0" fontId="0" fillId="0" borderId="0" xfId="0" applyAlignment="1" applyProtection="1">
      <alignment horizontal="left" vertical="center"/>
      <protection hidden="1"/>
    </xf>
    <xf numFmtId="0" fontId="0" fillId="0" borderId="68" xfId="0" applyBorder="1" applyAlignment="1" applyProtection="1">
      <alignment horizontal="center" vertical="center"/>
      <protection locked="0"/>
    </xf>
    <xf numFmtId="0" fontId="0" fillId="0" borderId="0" xfId="0" applyAlignment="1" applyProtection="1">
      <alignment horizontal="center" vertical="center" wrapText="1"/>
      <protection hidden="1"/>
    </xf>
    <xf numFmtId="164" fontId="0" fillId="0" borderId="0" xfId="2" applyNumberFormat="1" applyFont="1" applyBorder="1" applyAlignment="1" applyProtection="1">
      <alignment horizontal="center" vertical="center"/>
      <protection hidden="1"/>
    </xf>
    <xf numFmtId="167" fontId="0" fillId="0" borderId="65" xfId="0" applyNumberFormat="1" applyBorder="1" applyAlignment="1" applyProtection="1">
      <alignment horizontal="right" vertical="center"/>
      <protection locked="0"/>
    </xf>
    <xf numFmtId="0" fontId="0" fillId="0" borderId="73" xfId="0" applyBorder="1" applyProtection="1">
      <protection hidden="1"/>
    </xf>
    <xf numFmtId="0" fontId="0" fillId="0" borderId="0" xfId="0" applyAlignment="1" applyProtection="1">
      <alignment horizontal="center" vertical="center"/>
      <protection hidden="1"/>
    </xf>
    <xf numFmtId="169" fontId="2" fillId="0" borderId="0" xfId="0" applyNumberFormat="1" applyFont="1" applyAlignment="1" applyProtection="1">
      <alignment horizontal="center" vertical="center"/>
      <protection hidden="1"/>
    </xf>
    <xf numFmtId="14" fontId="0" fillId="0" borderId="65" xfId="0" applyNumberFormat="1" applyBorder="1" applyAlignment="1" applyProtection="1">
      <alignment horizontal="center" vertical="center"/>
      <protection locked="0"/>
    </xf>
    <xf numFmtId="0" fontId="0" fillId="0" borderId="63" xfId="0" applyBorder="1" applyAlignment="1" applyProtection="1">
      <alignment horizontal="center" vertical="center"/>
      <protection hidden="1"/>
    </xf>
    <xf numFmtId="0" fontId="40" fillId="0" borderId="0" xfId="0" applyFont="1" applyAlignment="1" applyProtection="1">
      <alignment horizontal="left" vertical="center" wrapText="1"/>
      <protection hidden="1"/>
    </xf>
    <xf numFmtId="0" fontId="39" fillId="0" borderId="0" xfId="0" applyFont="1" applyAlignment="1" applyProtection="1">
      <alignment horizontal="left" vertical="center" wrapText="1"/>
      <protection hidden="1"/>
    </xf>
    <xf numFmtId="0" fontId="8" fillId="0" borderId="0" xfId="0" applyFont="1" applyAlignment="1" applyProtection="1">
      <alignment vertical="center"/>
      <protection hidden="1"/>
    </xf>
    <xf numFmtId="14" fontId="0" fillId="0" borderId="34" xfId="0" applyNumberFormat="1" applyBorder="1" applyAlignment="1" applyProtection="1">
      <alignment horizontal="center" vertical="center"/>
      <protection locked="0"/>
    </xf>
    <xf numFmtId="168" fontId="8" fillId="0" borderId="0" xfId="1" applyNumberFormat="1" applyFont="1" applyBorder="1" applyAlignment="1" applyProtection="1">
      <alignment vertical="center"/>
      <protection hidden="1"/>
    </xf>
    <xf numFmtId="0" fontId="8" fillId="0" borderId="0" xfId="0" applyFont="1" applyProtection="1">
      <protection hidden="1"/>
    </xf>
    <xf numFmtId="171" fontId="0" fillId="0" borderId="65" xfId="5" applyNumberFormat="1" applyFont="1" applyBorder="1" applyAlignment="1" applyProtection="1">
      <alignment vertical="center"/>
      <protection locked="0"/>
    </xf>
    <xf numFmtId="171" fontId="0" fillId="0" borderId="65" xfId="5" applyNumberFormat="1" applyFont="1" applyBorder="1" applyAlignment="1" applyProtection="1">
      <protection locked="0"/>
    </xf>
    <xf numFmtId="10" fontId="0" fillId="0" borderId="0" xfId="2" applyNumberFormat="1" applyFont="1" applyProtection="1">
      <protection hidden="1"/>
    </xf>
    <xf numFmtId="0" fontId="0" fillId="0" borderId="0" xfId="0" applyAlignment="1" applyProtection="1">
      <alignment horizontal="center"/>
      <protection hidden="1"/>
    </xf>
    <xf numFmtId="0" fontId="47" fillId="0" borderId="0" xfId="0" applyFont="1" applyAlignment="1" applyProtection="1">
      <alignment horizontal="left" vertical="center"/>
      <protection hidden="1"/>
    </xf>
    <xf numFmtId="0" fontId="49" fillId="0" borderId="0" xfId="0" applyFont="1" applyAlignment="1" applyProtection="1">
      <alignment horizontal="center" vertical="center"/>
      <protection hidden="1"/>
    </xf>
    <xf numFmtId="168" fontId="0" fillId="0" borderId="85" xfId="1" applyNumberFormat="1" applyFont="1" applyBorder="1" applyProtection="1">
      <protection hidden="1"/>
    </xf>
    <xf numFmtId="0" fontId="2" fillId="0" borderId="65" xfId="0" applyFont="1" applyBorder="1" applyAlignment="1" applyProtection="1">
      <alignment horizontal="center" vertical="center"/>
      <protection locked="0" hidden="1"/>
    </xf>
    <xf numFmtId="0" fontId="50" fillId="0" borderId="0" xfId="0" applyFont="1" applyAlignment="1" applyProtection="1">
      <alignment vertical="center"/>
      <protection hidden="1"/>
    </xf>
    <xf numFmtId="0" fontId="43" fillId="0" borderId="0" xfId="0" applyFont="1" applyAlignment="1" applyProtection="1">
      <alignment horizontal="center" vertical="top"/>
      <protection hidden="1"/>
    </xf>
    <xf numFmtId="0" fontId="50" fillId="0" borderId="0" xfId="0" applyFont="1" applyAlignment="1" applyProtection="1">
      <alignment horizontal="left" vertical="center"/>
      <protection hidden="1"/>
    </xf>
    <xf numFmtId="0" fontId="0" fillId="0" borderId="0" xfId="0" applyAlignment="1" applyProtection="1">
      <alignment horizontal="center" vertical="top"/>
      <protection hidden="1"/>
    </xf>
    <xf numFmtId="0" fontId="50" fillId="0" borderId="0" xfId="0" applyFont="1" applyAlignment="1" applyProtection="1">
      <alignment wrapText="1"/>
      <protection hidden="1"/>
    </xf>
    <xf numFmtId="0" fontId="47" fillId="0" borderId="0" xfId="0" applyFont="1" applyAlignment="1" applyProtection="1">
      <alignment textRotation="180"/>
      <protection hidden="1"/>
    </xf>
    <xf numFmtId="5" fontId="2" fillId="0" borderId="65" xfId="1" applyNumberFormat="1" applyFont="1" applyBorder="1" applyAlignment="1" applyProtection="1">
      <alignment horizontal="center" vertical="center"/>
      <protection locked="0"/>
    </xf>
    <xf numFmtId="14" fontId="29" fillId="0" borderId="14" xfId="4" applyNumberFormat="1" applyBorder="1" applyAlignment="1" applyProtection="1">
      <alignment vertical="center"/>
      <protection locked="0"/>
    </xf>
    <xf numFmtId="14" fontId="29" fillId="0" borderId="32" xfId="4" applyNumberFormat="1" applyBorder="1" applyAlignment="1" applyProtection="1">
      <alignment vertical="center"/>
      <protection locked="0"/>
    </xf>
    <xf numFmtId="44" fontId="14" fillId="0" borderId="0" xfId="1" applyFont="1" applyAlignment="1" applyProtection="1">
      <alignment vertical="center"/>
    </xf>
    <xf numFmtId="44" fontId="52" fillId="0" borderId="0" xfId="1" applyFont="1" applyAlignment="1" applyProtection="1">
      <alignment vertical="top"/>
    </xf>
    <xf numFmtId="49" fontId="0" fillId="0" borderId="0" xfId="0" applyNumberFormat="1" applyAlignment="1">
      <alignment horizontal="center"/>
    </xf>
    <xf numFmtId="0" fontId="12" fillId="0" borderId="31"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0" borderId="23"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44" fontId="13" fillId="0" borderId="0" xfId="1" applyFont="1" applyAlignment="1" applyProtection="1">
      <alignment horizontal="center" vertical="center"/>
    </xf>
    <xf numFmtId="0" fontId="7" fillId="0" borderId="0" xfId="0" applyFont="1" applyAlignment="1">
      <alignment horizontal="center"/>
    </xf>
    <xf numFmtId="0" fontId="29" fillId="0" borderId="0" xfId="4" applyAlignment="1" applyProtection="1">
      <alignment horizontal="left"/>
      <protection locked="0"/>
    </xf>
    <xf numFmtId="0" fontId="29" fillId="0" borderId="32" xfId="4" applyBorder="1" applyAlignment="1" applyProtection="1">
      <alignment horizontal="left" vertical="center"/>
      <protection locked="0"/>
    </xf>
    <xf numFmtId="0" fontId="29" fillId="0" borderId="14" xfId="4" applyBorder="1" applyAlignment="1" applyProtection="1">
      <alignment horizontal="left" vertical="center" wrapText="1"/>
      <protection locked="0"/>
    </xf>
    <xf numFmtId="0" fontId="29" fillId="0" borderId="14" xfId="4" applyBorder="1" applyAlignment="1" applyProtection="1">
      <alignment horizontal="center" vertical="center" wrapText="1"/>
      <protection locked="0"/>
    </xf>
    <xf numFmtId="14" fontId="29" fillId="0" borderId="4" xfId="4" applyNumberFormat="1" applyBorder="1" applyAlignment="1" applyProtection="1">
      <alignment vertical="center"/>
      <protection locked="0"/>
    </xf>
    <xf numFmtId="14" fontId="29" fillId="0" borderId="14" xfId="4" applyNumberFormat="1" applyBorder="1" applyAlignment="1" applyProtection="1">
      <alignment vertical="center" wrapText="1"/>
      <protection locked="0"/>
    </xf>
    <xf numFmtId="0" fontId="33" fillId="0" borderId="0" xfId="4" applyFont="1" applyAlignment="1" applyProtection="1">
      <alignment horizontal="center" vertical="center"/>
      <protection hidden="1"/>
    </xf>
    <xf numFmtId="0" fontId="31" fillId="7" borderId="0" xfId="4" applyFont="1" applyFill="1" applyAlignment="1" applyProtection="1">
      <alignment horizontal="center" vertical="center"/>
      <protection hidden="1"/>
    </xf>
    <xf numFmtId="0" fontId="31" fillId="6" borderId="60" xfId="4" applyFont="1" applyFill="1" applyBorder="1" applyAlignment="1" applyProtection="1">
      <alignment horizontal="center" vertical="center" wrapText="1"/>
      <protection hidden="1"/>
    </xf>
    <xf numFmtId="4" fontId="29" fillId="0" borderId="32" xfId="4" applyNumberFormat="1" applyBorder="1" applyAlignment="1" applyProtection="1">
      <alignment vertical="center"/>
      <protection locked="0"/>
    </xf>
    <xf numFmtId="49" fontId="10" fillId="6" borderId="32" xfId="0" applyNumberFormat="1" applyFont="1" applyFill="1" applyBorder="1" applyAlignment="1">
      <alignment horizontal="center" vertical="center" wrapText="1"/>
    </xf>
    <xf numFmtId="49" fontId="10" fillId="6" borderId="33" xfId="0" applyNumberFormat="1" applyFont="1" applyFill="1" applyBorder="1" applyAlignment="1">
      <alignment horizontal="center" vertical="center" wrapText="1"/>
    </xf>
    <xf numFmtId="0" fontId="12" fillId="0" borderId="25" xfId="0" applyFont="1" applyBorder="1" applyAlignment="1" applyProtection="1">
      <alignment horizontal="center" vertical="center" wrapText="1"/>
      <protection locked="0"/>
    </xf>
    <xf numFmtId="0" fontId="12" fillId="0" borderId="18" xfId="0" applyFont="1" applyBorder="1" applyAlignment="1" applyProtection="1">
      <alignment horizontal="center" vertical="center" wrapText="1"/>
      <protection locked="0"/>
    </xf>
    <xf numFmtId="0" fontId="12" fillId="0" borderId="22" xfId="0" applyFont="1" applyBorder="1" applyAlignment="1" applyProtection="1">
      <alignment horizontal="center" vertical="center" wrapText="1"/>
      <protection locked="0"/>
    </xf>
    <xf numFmtId="0" fontId="12" fillId="0" borderId="6" xfId="0" applyFont="1" applyBorder="1" applyAlignment="1" applyProtection="1">
      <alignment horizontal="center" vertical="center" wrapText="1"/>
      <protection locked="0"/>
    </xf>
    <xf numFmtId="0" fontId="2" fillId="8" borderId="16" xfId="0" applyFont="1" applyFill="1" applyBorder="1" applyAlignment="1" applyProtection="1">
      <alignment horizontal="center" vertical="center"/>
      <protection hidden="1"/>
    </xf>
    <xf numFmtId="0" fontId="2" fillId="8" borderId="8" xfId="0" applyFont="1" applyFill="1" applyBorder="1" applyAlignment="1" applyProtection="1">
      <alignment horizontal="center" vertical="center"/>
      <protection hidden="1"/>
    </xf>
    <xf numFmtId="0" fontId="2" fillId="8" borderId="41" xfId="0" applyFont="1" applyFill="1" applyBorder="1" applyAlignment="1" applyProtection="1">
      <alignment horizontal="center" vertical="center"/>
      <protection hidden="1"/>
    </xf>
    <xf numFmtId="0" fontId="2" fillId="8" borderId="22" xfId="0" applyFont="1" applyFill="1" applyBorder="1" applyAlignment="1" applyProtection="1">
      <alignment horizontal="center" vertical="center"/>
      <protection hidden="1"/>
    </xf>
    <xf numFmtId="0" fontId="9" fillId="0" borderId="3" xfId="0" applyFont="1" applyBorder="1" applyAlignment="1" applyProtection="1">
      <alignment horizontal="center" vertical="center"/>
      <protection hidden="1"/>
    </xf>
    <xf numFmtId="0" fontId="9" fillId="0" borderId="1" xfId="0" applyFont="1" applyBorder="1" applyAlignment="1" applyProtection="1">
      <alignment horizontal="center" vertical="center"/>
      <protection hidden="1"/>
    </xf>
    <xf numFmtId="0" fontId="2" fillId="0" borderId="63" xfId="0" applyFont="1" applyBorder="1" applyAlignment="1" applyProtection="1">
      <alignment horizontal="center"/>
      <protection hidden="1"/>
    </xf>
    <xf numFmtId="0" fontId="38" fillId="0" borderId="0" xfId="0" applyFont="1" applyAlignment="1" applyProtection="1">
      <alignment horizontal="center"/>
      <protection hidden="1"/>
    </xf>
    <xf numFmtId="0" fontId="10" fillId="0" borderId="0" xfId="0" applyFont="1" applyAlignment="1" applyProtection="1">
      <alignment horizontal="center"/>
      <protection hidden="1"/>
    </xf>
    <xf numFmtId="0" fontId="39" fillId="0" borderId="0" xfId="0" applyFont="1" applyAlignment="1" applyProtection="1">
      <alignment horizontal="center" wrapText="1"/>
      <protection hidden="1"/>
    </xf>
    <xf numFmtId="0" fontId="0" fillId="0" borderId="0" xfId="0" applyAlignment="1" applyProtection="1">
      <alignment horizontal="right" vertical="center" wrapText="1"/>
      <protection hidden="1"/>
    </xf>
    <xf numFmtId="0" fontId="0" fillId="0" borderId="64" xfId="0" applyBorder="1" applyAlignment="1" applyProtection="1">
      <alignment horizontal="right" vertical="center" wrapText="1"/>
      <protection hidden="1"/>
    </xf>
    <xf numFmtId="0" fontId="8" fillId="0" borderId="0" xfId="0" applyFont="1" applyAlignment="1" applyProtection="1">
      <alignment horizontal="right" vertical="center" wrapText="1"/>
      <protection hidden="1"/>
    </xf>
    <xf numFmtId="0" fontId="8" fillId="0" borderId="64" xfId="0" applyFont="1" applyBorder="1" applyAlignment="1" applyProtection="1">
      <alignment horizontal="right" vertical="center" wrapText="1"/>
      <protection hidden="1"/>
    </xf>
    <xf numFmtId="49" fontId="2" fillId="0" borderId="3" xfId="0" applyNumberFormat="1" applyFont="1" applyBorder="1" applyAlignment="1" applyProtection="1">
      <alignment horizontal="left" vertical="center" wrapText="1"/>
      <protection locked="0"/>
    </xf>
    <xf numFmtId="49" fontId="2" fillId="0" borderId="2" xfId="0" applyNumberFormat="1" applyFont="1" applyBorder="1" applyAlignment="1" applyProtection="1">
      <alignment horizontal="left" vertical="center" wrapText="1"/>
      <protection locked="0"/>
    </xf>
    <xf numFmtId="49" fontId="2" fillId="0" borderId="1" xfId="0" applyNumberFormat="1" applyFont="1" applyBorder="1" applyAlignment="1" applyProtection="1">
      <alignment horizontal="left" vertical="center" wrapText="1"/>
      <protection locked="0"/>
    </xf>
    <xf numFmtId="0" fontId="0" fillId="0" borderId="0" xfId="0" applyAlignment="1" applyProtection="1">
      <alignment horizontal="right" vertical="center"/>
      <protection hidden="1"/>
    </xf>
    <xf numFmtId="0" fontId="0" fillId="0" borderId="64" xfId="0" applyBorder="1" applyAlignment="1" applyProtection="1">
      <alignment horizontal="right" vertical="center"/>
      <protection hidden="1"/>
    </xf>
    <xf numFmtId="0" fontId="2" fillId="0" borderId="3"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41" fillId="0" borderId="63" xfId="3" applyFont="1" applyBorder="1" applyAlignment="1" applyProtection="1">
      <alignment horizontal="center" vertical="center" wrapText="1"/>
      <protection hidden="1"/>
    </xf>
    <xf numFmtId="0" fontId="41" fillId="0" borderId="63" xfId="3" applyFont="1" applyBorder="1" applyAlignment="1" applyProtection="1">
      <alignment horizontal="center" vertical="center"/>
      <protection hidden="1"/>
    </xf>
    <xf numFmtId="0" fontId="39" fillId="0" borderId="0" xfId="0" applyFont="1" applyAlignment="1" applyProtection="1">
      <alignment horizontal="left"/>
      <protection hidden="1"/>
    </xf>
    <xf numFmtId="0" fontId="2" fillId="8" borderId="18" xfId="0" applyFont="1" applyFill="1" applyBorder="1" applyAlignment="1" applyProtection="1">
      <alignment horizontal="center" vertical="center"/>
      <protection hidden="1"/>
    </xf>
    <xf numFmtId="0" fontId="0" fillId="0" borderId="66" xfId="0" applyBorder="1" applyAlignment="1" applyProtection="1">
      <alignment horizontal="right" vertical="center" wrapText="1"/>
      <protection hidden="1"/>
    </xf>
    <xf numFmtId="3" fontId="2" fillId="0" borderId="3" xfId="0" applyNumberFormat="1" applyFont="1" applyBorder="1" applyAlignment="1" applyProtection="1">
      <alignment horizontal="center" vertical="center"/>
      <protection locked="0"/>
    </xf>
    <xf numFmtId="3" fontId="2" fillId="0" borderId="1" xfId="0" applyNumberFormat="1" applyFont="1" applyBorder="1" applyAlignment="1" applyProtection="1">
      <alignment horizontal="center" vertical="center"/>
      <protection locked="0"/>
    </xf>
    <xf numFmtId="0" fontId="2" fillId="0" borderId="3" xfId="0" applyFont="1" applyBorder="1" applyAlignment="1" applyProtection="1">
      <alignment horizontal="center"/>
      <protection locked="0"/>
    </xf>
    <xf numFmtId="0" fontId="2" fillId="0" borderId="1" xfId="0" applyFont="1" applyBorder="1" applyAlignment="1" applyProtection="1">
      <alignment horizontal="center"/>
      <protection locked="0"/>
    </xf>
    <xf numFmtId="0" fontId="2" fillId="8" borderId="16" xfId="0" applyFont="1" applyFill="1" applyBorder="1" applyAlignment="1" applyProtection="1">
      <alignment horizontal="center" vertical="center" wrapText="1"/>
      <protection hidden="1"/>
    </xf>
    <xf numFmtId="172" fontId="0" fillId="0" borderId="0" xfId="1" applyNumberFormat="1" applyFont="1" applyBorder="1" applyAlignment="1" applyProtection="1">
      <alignment horizontal="right" vertical="center" wrapText="1"/>
      <protection hidden="1"/>
    </xf>
    <xf numFmtId="0" fontId="2" fillId="8" borderId="14" xfId="0" applyFont="1" applyFill="1" applyBorder="1" applyAlignment="1" applyProtection="1">
      <alignment horizontal="center" vertical="center"/>
      <protection hidden="1"/>
    </xf>
    <xf numFmtId="0" fontId="2" fillId="8" borderId="32" xfId="0" applyFont="1" applyFill="1" applyBorder="1" applyAlignment="1" applyProtection="1">
      <alignment horizontal="center" vertical="center"/>
      <protection hidden="1"/>
    </xf>
    <xf numFmtId="0" fontId="0" fillId="0" borderId="69" xfId="0" applyBorder="1" applyAlignment="1" applyProtection="1">
      <alignment horizontal="center" vertical="center"/>
      <protection locked="0"/>
    </xf>
    <xf numFmtId="0" fontId="0" fillId="0" borderId="70" xfId="0" applyBorder="1" applyAlignment="1" applyProtection="1">
      <alignment horizontal="center" vertical="center"/>
      <protection locked="0"/>
    </xf>
    <xf numFmtId="0" fontId="0" fillId="0" borderId="71" xfId="0"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2"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0" fillId="0" borderId="67"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0" xfId="0" applyAlignment="1" applyProtection="1">
      <alignment horizontal="left" vertical="center" wrapText="1"/>
      <protection hidden="1"/>
    </xf>
    <xf numFmtId="0" fontId="0" fillId="0" borderId="0" xfId="0" applyAlignment="1" applyProtection="1">
      <alignment horizontal="center" vertical="center"/>
      <protection hidden="1"/>
    </xf>
    <xf numFmtId="0" fontId="0" fillId="0" borderId="0" xfId="0" applyAlignment="1" applyProtection="1">
      <alignment horizontal="left" vertical="center"/>
      <protection hidden="1"/>
    </xf>
    <xf numFmtId="169" fontId="2" fillId="0" borderId="67" xfId="0" applyNumberFormat="1" applyFont="1" applyBorder="1" applyAlignment="1" applyProtection="1">
      <alignment horizontal="center" vertical="center"/>
      <protection locked="0"/>
    </xf>
    <xf numFmtId="169" fontId="2" fillId="0" borderId="63" xfId="0" applyNumberFormat="1" applyFont="1" applyBorder="1" applyAlignment="1" applyProtection="1">
      <alignment horizontal="center" vertical="center"/>
      <protection locked="0"/>
    </xf>
    <xf numFmtId="169" fontId="2" fillId="0" borderId="72" xfId="0" applyNumberFormat="1" applyFont="1" applyBorder="1" applyAlignment="1" applyProtection="1">
      <alignment horizontal="center" vertical="center"/>
      <protection locked="0"/>
    </xf>
    <xf numFmtId="0" fontId="8" fillId="0" borderId="67" xfId="0" applyFont="1" applyBorder="1" applyAlignment="1" applyProtection="1">
      <alignment horizontal="center" vertical="center"/>
      <protection locked="0"/>
    </xf>
    <xf numFmtId="0" fontId="8" fillId="0" borderId="63" xfId="0" applyFont="1" applyBorder="1" applyAlignment="1" applyProtection="1">
      <alignment horizontal="center" vertical="center"/>
      <protection locked="0"/>
    </xf>
    <xf numFmtId="0" fontId="8" fillId="0" borderId="72" xfId="0" applyFont="1" applyBorder="1" applyAlignment="1" applyProtection="1">
      <alignment horizontal="center" vertical="center"/>
      <protection locked="0"/>
    </xf>
    <xf numFmtId="0" fontId="8" fillId="0" borderId="69" xfId="0" applyFont="1" applyBorder="1" applyAlignment="1" applyProtection="1">
      <alignment horizontal="center" vertical="center"/>
      <protection locked="0"/>
    </xf>
    <xf numFmtId="0" fontId="8" fillId="0" borderId="70" xfId="0" applyFont="1" applyBorder="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0" fillId="0" borderId="74" xfId="0" applyBorder="1" applyAlignment="1" applyProtection="1">
      <alignment horizontal="right" vertical="center" wrapText="1"/>
      <protection hidden="1"/>
    </xf>
    <xf numFmtId="0" fontId="0" fillId="0" borderId="75" xfId="0" applyBorder="1" applyAlignment="1" applyProtection="1">
      <alignment horizontal="right" vertical="center" wrapText="1"/>
      <protection hidden="1"/>
    </xf>
    <xf numFmtId="0" fontId="0" fillId="0" borderId="76" xfId="0" applyBorder="1" applyAlignment="1" applyProtection="1">
      <alignment horizontal="center" vertical="center" wrapText="1"/>
      <protection locked="0"/>
    </xf>
    <xf numFmtId="0" fontId="0" fillId="0" borderId="77" xfId="0" applyBorder="1" applyAlignment="1" applyProtection="1">
      <alignment horizontal="center" vertical="center" wrapText="1"/>
      <protection locked="0"/>
    </xf>
    <xf numFmtId="0" fontId="0" fillId="0" borderId="78" xfId="0" applyBorder="1" applyAlignment="1" applyProtection="1">
      <alignment horizontal="center" vertical="center" wrapText="1"/>
      <protection locked="0"/>
    </xf>
    <xf numFmtId="0" fontId="0" fillId="0" borderId="3" xfId="0" applyBorder="1" applyAlignment="1" applyProtection="1">
      <alignment horizontal="center"/>
      <protection locked="0"/>
    </xf>
    <xf numFmtId="0" fontId="0" fillId="0" borderId="1" xfId="0" applyBorder="1" applyAlignment="1" applyProtection="1">
      <alignment horizontal="center"/>
      <protection locked="0"/>
    </xf>
    <xf numFmtId="0" fontId="40" fillId="0" borderId="79" xfId="0" applyFont="1" applyBorder="1" applyAlignment="1" applyProtection="1">
      <alignment horizontal="right" vertical="top" wrapText="1"/>
      <protection hidden="1"/>
    </xf>
    <xf numFmtId="0" fontId="40" fillId="0" borderId="0" xfId="0" applyFont="1" applyAlignment="1" applyProtection="1">
      <alignment horizontal="right" vertical="top" wrapText="1"/>
      <protection hidden="1"/>
    </xf>
    <xf numFmtId="0" fontId="40" fillId="0" borderId="80" xfId="0" applyFont="1" applyBorder="1" applyAlignment="1" applyProtection="1">
      <alignment horizontal="right" vertical="top" wrapText="1"/>
      <protection hidden="1"/>
    </xf>
    <xf numFmtId="0" fontId="0" fillId="0" borderId="79" xfId="0" applyBorder="1" applyAlignment="1" applyProtection="1">
      <alignment horizontal="right" vertical="center" wrapText="1"/>
      <protection hidden="1"/>
    </xf>
    <xf numFmtId="169" fontId="0" fillId="0" borderId="3" xfId="0" applyNumberFormat="1" applyBorder="1" applyAlignment="1" applyProtection="1">
      <alignment horizontal="center" vertical="center"/>
      <protection locked="0"/>
    </xf>
    <xf numFmtId="169" fontId="0" fillId="0" borderId="1" xfId="0" applyNumberFormat="1" applyBorder="1" applyAlignment="1" applyProtection="1">
      <alignment horizontal="center" vertical="center"/>
      <protection locked="0"/>
    </xf>
    <xf numFmtId="0" fontId="0" fillId="0" borderId="3"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81" xfId="0" applyBorder="1" applyAlignment="1" applyProtection="1">
      <alignment horizontal="center" vertical="center" wrapText="1"/>
      <protection locked="0"/>
    </xf>
    <xf numFmtId="0" fontId="40" fillId="0" borderId="82" xfId="0" applyFont="1" applyBorder="1" applyAlignment="1" applyProtection="1">
      <alignment horizontal="left" vertical="center" wrapText="1"/>
      <protection hidden="1"/>
    </xf>
    <xf numFmtId="0" fontId="40" fillId="0" borderId="83" xfId="0" applyFont="1" applyBorder="1" applyAlignment="1" applyProtection="1">
      <alignment horizontal="left" vertical="center" wrapText="1"/>
      <protection hidden="1"/>
    </xf>
    <xf numFmtId="0" fontId="40" fillId="0" borderId="84"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170" fontId="2" fillId="0" borderId="3" xfId="5" applyNumberFormat="1" applyFont="1" applyBorder="1" applyAlignment="1" applyProtection="1">
      <alignment horizontal="center" vertical="center"/>
      <protection locked="0"/>
    </xf>
    <xf numFmtId="170" fontId="2" fillId="0" borderId="1" xfId="5" applyNumberFormat="1" applyFont="1" applyBorder="1" applyAlignment="1" applyProtection="1">
      <alignment horizontal="center" vertical="center"/>
      <protection locked="0"/>
    </xf>
    <xf numFmtId="0" fontId="0" fillId="0" borderId="66" xfId="0" applyBorder="1" applyAlignment="1" applyProtection="1">
      <alignment horizontal="right"/>
      <protection hidden="1"/>
    </xf>
    <xf numFmtId="0" fontId="0" fillId="0" borderId="0" xfId="0" applyAlignment="1" applyProtection="1">
      <alignment horizontal="right"/>
      <protection hidden="1"/>
    </xf>
    <xf numFmtId="0" fontId="0" fillId="0" borderId="64" xfId="0" applyBorder="1" applyAlignment="1" applyProtection="1">
      <alignment horizontal="right"/>
      <protection hidden="1"/>
    </xf>
    <xf numFmtId="168" fontId="0" fillId="0" borderId="3" xfId="1" applyNumberFormat="1" applyFont="1" applyBorder="1" applyAlignment="1" applyProtection="1">
      <alignment horizontal="center" vertical="center"/>
      <protection locked="0"/>
    </xf>
    <xf numFmtId="168" fontId="0" fillId="0" borderId="1" xfId="1" applyNumberFormat="1" applyFont="1" applyBorder="1" applyAlignment="1" applyProtection="1">
      <alignment horizontal="center" vertical="center"/>
      <protection locked="0"/>
    </xf>
    <xf numFmtId="0" fontId="0" fillId="0" borderId="3"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51" fillId="0" borderId="0" xfId="0" applyFont="1" applyAlignment="1" applyProtection="1">
      <alignment horizontal="center" textRotation="180"/>
      <protection hidden="1"/>
    </xf>
    <xf numFmtId="0" fontId="2" fillId="8" borderId="16" xfId="0" applyFont="1" applyFill="1" applyBorder="1" applyAlignment="1" applyProtection="1">
      <alignment horizontal="center"/>
      <protection hidden="1"/>
    </xf>
    <xf numFmtId="0" fontId="2" fillId="8" borderId="8" xfId="0" applyFont="1" applyFill="1" applyBorder="1" applyAlignment="1" applyProtection="1">
      <alignment horizontal="center"/>
      <protection hidden="1"/>
    </xf>
    <xf numFmtId="0" fontId="2" fillId="8" borderId="18" xfId="0" applyFont="1" applyFill="1" applyBorder="1" applyAlignment="1" applyProtection="1">
      <alignment horizontal="center"/>
      <protection hidden="1"/>
    </xf>
    <xf numFmtId="166" fontId="0" fillId="3" borderId="21" xfId="0" applyNumberFormat="1" applyFill="1" applyBorder="1" applyAlignment="1" applyProtection="1">
      <alignment horizontal="right" vertical="center" indent="1"/>
      <protection hidden="1"/>
    </xf>
    <xf numFmtId="166" fontId="0" fillId="3" borderId="22" xfId="0" applyNumberFormat="1" applyFill="1" applyBorder="1" applyAlignment="1" applyProtection="1">
      <alignment horizontal="right" vertical="center" indent="1"/>
      <protection hidden="1"/>
    </xf>
    <xf numFmtId="0" fontId="48" fillId="0" borderId="0" xfId="0" applyFont="1" applyAlignment="1" applyProtection="1">
      <alignment horizontal="left" vertical="center" wrapText="1"/>
      <protection hidden="1"/>
    </xf>
    <xf numFmtId="0" fontId="2" fillId="0" borderId="0" xfId="0" applyFont="1" applyAlignment="1" applyProtection="1">
      <alignment horizontal="left" vertical="center"/>
      <protection hidden="1"/>
    </xf>
    <xf numFmtId="166" fontId="2" fillId="0" borderId="3" xfId="0" applyNumberFormat="1" applyFont="1" applyBorder="1" applyAlignment="1" applyProtection="1">
      <alignment horizontal="right" vertical="center" indent="1"/>
      <protection locked="0"/>
    </xf>
    <xf numFmtId="166" fontId="2" fillId="0" borderId="1" xfId="0" applyNumberFormat="1" applyFont="1" applyBorder="1" applyAlignment="1" applyProtection="1">
      <alignment horizontal="right" vertical="center" indent="1"/>
      <protection locked="0"/>
    </xf>
    <xf numFmtId="0" fontId="0" fillId="0" borderId="85" xfId="0" applyBorder="1" applyAlignment="1" applyProtection="1">
      <alignment horizontal="right" vertical="center" wrapText="1"/>
      <protection hidden="1"/>
    </xf>
    <xf numFmtId="0" fontId="0" fillId="0" borderId="3" xfId="0" applyBorder="1" applyAlignment="1" applyProtection="1">
      <alignment horizontal="center" vertical="center" wrapText="1"/>
      <protection locked="0" hidden="1"/>
    </xf>
    <xf numFmtId="0" fontId="0" fillId="0" borderId="1" xfId="0" applyBorder="1" applyAlignment="1" applyProtection="1">
      <alignment horizontal="center" vertical="center" wrapText="1"/>
      <protection locked="0" hidden="1"/>
    </xf>
    <xf numFmtId="166" fontId="0" fillId="3" borderId="43" xfId="0" applyNumberFormat="1" applyFill="1" applyBorder="1" applyAlignment="1" applyProtection="1">
      <alignment horizontal="right" vertical="center" indent="1"/>
      <protection hidden="1"/>
    </xf>
    <xf numFmtId="166" fontId="0" fillId="3" borderId="42" xfId="0" applyNumberFormat="1" applyFill="1" applyBorder="1" applyAlignment="1" applyProtection="1">
      <alignment horizontal="right" vertical="center" indent="1"/>
      <protection hidden="1"/>
    </xf>
    <xf numFmtId="166" fontId="0" fillId="0" borderId="3" xfId="1" applyNumberFormat="1" applyFont="1" applyBorder="1" applyAlignment="1" applyProtection="1">
      <alignment horizontal="center" vertical="center"/>
      <protection locked="0"/>
    </xf>
    <xf numFmtId="166" fontId="0" fillId="0" borderId="1" xfId="1" applyNumberFormat="1" applyFont="1" applyBorder="1" applyAlignment="1" applyProtection="1">
      <alignment horizontal="center" vertical="center"/>
      <protection locked="0"/>
    </xf>
    <xf numFmtId="0" fontId="2" fillId="0" borderId="0" xfId="0" applyFont="1" applyAlignment="1" applyProtection="1">
      <alignment horizontal="right" vertical="center" wrapText="1"/>
      <protection hidden="1"/>
    </xf>
    <xf numFmtId="166" fontId="2" fillId="3" borderId="86" xfId="1" applyNumberFormat="1" applyFont="1" applyFill="1" applyBorder="1" applyAlignment="1" applyProtection="1">
      <alignment horizontal="right" vertical="center" indent="1"/>
      <protection hidden="1"/>
    </xf>
    <xf numFmtId="166" fontId="2" fillId="3" borderId="87" xfId="1" applyNumberFormat="1" applyFont="1" applyFill="1" applyBorder="1" applyAlignment="1" applyProtection="1">
      <alignment horizontal="right" vertical="center" indent="1"/>
      <protection hidden="1"/>
    </xf>
    <xf numFmtId="49" fontId="7" fillId="0" borderId="0" xfId="0" applyNumberFormat="1" applyFont="1" applyAlignment="1" applyProtection="1">
      <alignment horizontal="left" vertical="top" wrapText="1"/>
      <protection hidden="1"/>
    </xf>
    <xf numFmtId="166" fontId="0" fillId="3" borderId="21" xfId="0" applyNumberFormat="1" applyFill="1" applyBorder="1" applyAlignment="1" applyProtection="1">
      <alignment horizontal="right" vertical="center" wrapText="1" indent="1"/>
      <protection hidden="1"/>
    </xf>
    <xf numFmtId="166" fontId="0" fillId="3" borderId="41" xfId="0" applyNumberFormat="1" applyFill="1" applyBorder="1" applyAlignment="1" applyProtection="1">
      <alignment horizontal="right" vertical="center" wrapText="1" indent="1"/>
      <protection hidden="1"/>
    </xf>
    <xf numFmtId="49" fontId="10" fillId="6" borderId="32" xfId="0" applyNumberFormat="1" applyFont="1" applyFill="1" applyBorder="1" applyAlignment="1">
      <alignment horizontal="center" vertical="center" wrapText="1"/>
    </xf>
    <xf numFmtId="49" fontId="10" fillId="6" borderId="33" xfId="0" applyNumberFormat="1" applyFont="1" applyFill="1" applyBorder="1" applyAlignment="1">
      <alignment horizontal="center" vertical="center" wrapText="1"/>
    </xf>
    <xf numFmtId="0" fontId="26" fillId="3" borderId="16" xfId="0" applyFont="1" applyFill="1" applyBorder="1" applyAlignment="1">
      <alignment horizontal="center" vertical="center" wrapText="1"/>
    </xf>
    <xf numFmtId="0" fontId="26" fillId="3" borderId="8" xfId="0" applyFont="1" applyFill="1" applyBorder="1" applyAlignment="1">
      <alignment horizontal="center" vertical="center" wrapText="1"/>
    </xf>
    <xf numFmtId="0" fontId="26" fillId="3" borderId="18" xfId="0" applyFont="1" applyFill="1" applyBorder="1" applyAlignment="1">
      <alignment horizontal="center" vertical="center" wrapText="1"/>
    </xf>
    <xf numFmtId="164" fontId="27" fillId="2" borderId="46" xfId="2" applyNumberFormat="1" applyFont="1" applyFill="1" applyBorder="1" applyAlignment="1" applyProtection="1">
      <alignment horizontal="center" vertical="center"/>
      <protection hidden="1"/>
    </xf>
    <xf numFmtId="164" fontId="27" fillId="2" borderId="45" xfId="2" applyNumberFormat="1" applyFont="1" applyFill="1" applyBorder="1" applyAlignment="1" applyProtection="1">
      <alignment horizontal="center" vertical="center"/>
      <protection hidden="1"/>
    </xf>
    <xf numFmtId="164" fontId="27" fillId="2" borderId="44" xfId="2" applyNumberFormat="1" applyFont="1" applyFill="1" applyBorder="1" applyAlignment="1" applyProtection="1">
      <alignment horizontal="center" vertical="center"/>
      <protection hidden="1"/>
    </xf>
    <xf numFmtId="0" fontId="0" fillId="0" borderId="0" xfId="0" applyAlignment="1">
      <alignment horizontal="left" vertical="center" wrapText="1"/>
    </xf>
    <xf numFmtId="49" fontId="15" fillId="6" borderId="21" xfId="0" applyNumberFormat="1" applyFont="1" applyFill="1" applyBorder="1" applyAlignment="1">
      <alignment horizontal="center" vertical="center" wrapText="1"/>
    </xf>
    <xf numFmtId="49" fontId="15" fillId="6" borderId="41" xfId="0" applyNumberFormat="1" applyFont="1" applyFill="1" applyBorder="1" applyAlignment="1">
      <alignment horizontal="center" vertical="center" wrapText="1"/>
    </xf>
    <xf numFmtId="49" fontId="15" fillId="6" borderId="22" xfId="0" applyNumberFormat="1" applyFont="1" applyFill="1" applyBorder="1" applyAlignment="1">
      <alignment horizontal="center" vertical="center" wrapText="1"/>
    </xf>
    <xf numFmtId="49" fontId="23" fillId="9" borderId="16" xfId="0" quotePrefix="1" applyNumberFormat="1" applyFont="1" applyFill="1" applyBorder="1" applyAlignment="1" applyProtection="1">
      <alignment horizontal="center" vertical="center"/>
      <protection hidden="1"/>
    </xf>
    <xf numFmtId="0" fontId="23" fillId="9" borderId="8" xfId="0" quotePrefix="1" applyFont="1" applyFill="1" applyBorder="1" applyAlignment="1" applyProtection="1">
      <alignment horizontal="center" vertical="center"/>
      <protection hidden="1"/>
    </xf>
    <xf numFmtId="0" fontId="23" fillId="9" borderId="18" xfId="0" quotePrefix="1" applyFont="1" applyFill="1" applyBorder="1" applyAlignment="1" applyProtection="1">
      <alignment horizontal="center" vertical="center"/>
      <protection hidden="1"/>
    </xf>
    <xf numFmtId="44" fontId="10" fillId="6" borderId="32" xfId="1" applyFont="1" applyFill="1" applyBorder="1" applyAlignment="1" applyProtection="1">
      <alignment horizontal="center" vertical="center" wrapText="1"/>
    </xf>
    <xf numFmtId="44" fontId="10" fillId="6" borderId="4" xfId="1" applyFont="1" applyFill="1" applyBorder="1" applyAlignment="1" applyProtection="1">
      <alignment horizontal="center" vertical="center" wrapText="1"/>
    </xf>
    <xf numFmtId="0" fontId="10" fillId="6" borderId="32" xfId="0" applyFont="1" applyFill="1" applyBorder="1" applyAlignment="1">
      <alignment horizontal="center" vertical="center" wrapText="1"/>
    </xf>
    <xf numFmtId="0" fontId="10" fillId="6" borderId="3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41" xfId="0" applyFont="1" applyFill="1" applyBorder="1" applyAlignment="1">
      <alignment horizontal="center" vertical="center" wrapText="1"/>
    </xf>
    <xf numFmtId="49" fontId="26" fillId="0" borderId="43" xfId="0" applyNumberFormat="1" applyFont="1" applyBorder="1" applyAlignment="1">
      <alignment horizontal="center" vertical="center"/>
    </xf>
    <xf numFmtId="49" fontId="26" fillId="0" borderId="8" xfId="0" applyNumberFormat="1" applyFont="1" applyBorder="1" applyAlignment="1">
      <alignment horizontal="center" vertical="center"/>
    </xf>
    <xf numFmtId="49" fontId="26" fillId="0" borderId="18" xfId="0" applyNumberFormat="1" applyFont="1" applyBorder="1" applyAlignment="1">
      <alignment horizontal="center" vertical="center"/>
    </xf>
    <xf numFmtId="0" fontId="22" fillId="0" borderId="16" xfId="0" quotePrefix="1" applyFont="1" applyBorder="1" applyAlignment="1">
      <alignment horizontal="center" wrapText="1"/>
    </xf>
    <xf numFmtId="0" fontId="22" fillId="0" borderId="18" xfId="0" quotePrefix="1" applyFont="1" applyBorder="1" applyAlignment="1">
      <alignment horizontal="center" wrapText="1"/>
    </xf>
    <xf numFmtId="44" fontId="15" fillId="6" borderId="32" xfId="1" applyFont="1" applyFill="1" applyBorder="1" applyAlignment="1" applyProtection="1">
      <alignment horizontal="center" vertical="center" wrapText="1"/>
    </xf>
    <xf numFmtId="44" fontId="15" fillId="6" borderId="4" xfId="1" applyFont="1" applyFill="1" applyBorder="1" applyAlignment="1" applyProtection="1">
      <alignment horizontal="center" vertical="center" wrapText="1"/>
    </xf>
    <xf numFmtId="49" fontId="10" fillId="6" borderId="4" xfId="0" applyNumberFormat="1" applyFont="1" applyFill="1" applyBorder="1" applyAlignment="1">
      <alignment horizontal="center" vertical="center" wrapText="1"/>
    </xf>
    <xf numFmtId="49" fontId="10" fillId="6" borderId="14" xfId="0" applyNumberFormat="1" applyFont="1" applyFill="1" applyBorder="1" applyAlignment="1">
      <alignment horizontal="center" vertical="center" wrapText="1"/>
    </xf>
    <xf numFmtId="49" fontId="28" fillId="0" borderId="0" xfId="0" applyNumberFormat="1" applyFont="1" applyAlignment="1">
      <alignment horizontal="right" vertical="top"/>
    </xf>
    <xf numFmtId="0" fontId="54" fillId="0" borderId="43" xfId="0" quotePrefix="1" applyFont="1" applyBorder="1" applyAlignment="1">
      <alignment horizontal="center" vertical="center" wrapText="1"/>
    </xf>
    <xf numFmtId="0" fontId="54" fillId="0" borderId="42" xfId="0" quotePrefix="1" applyFont="1" applyBorder="1" applyAlignment="1">
      <alignment horizontal="center" vertical="center" wrapText="1"/>
    </xf>
    <xf numFmtId="49" fontId="10" fillId="0" borderId="4" xfId="0" applyNumberFormat="1" applyFont="1" applyBorder="1" applyAlignment="1">
      <alignment horizontal="center" vertical="top" wrapText="1"/>
    </xf>
    <xf numFmtId="0" fontId="10" fillId="0" borderId="4" xfId="0" applyFont="1" applyBorder="1" applyAlignment="1">
      <alignment horizontal="center" vertical="top"/>
    </xf>
    <xf numFmtId="49" fontId="8" fillId="0" borderId="0" xfId="0" applyNumberFormat="1" applyFont="1" applyAlignment="1">
      <alignment horizontal="left" vertical="center" wrapText="1"/>
    </xf>
    <xf numFmtId="0" fontId="53" fillId="0" borderId="3" xfId="0" applyFont="1" applyBorder="1" applyAlignment="1" applyProtection="1">
      <alignment horizontal="center" vertical="center"/>
      <protection hidden="1"/>
    </xf>
    <xf numFmtId="0" fontId="53" fillId="0" borderId="1" xfId="0" applyFont="1" applyBorder="1" applyAlignment="1" applyProtection="1">
      <alignment horizontal="center" vertical="center"/>
      <protection hidden="1"/>
    </xf>
    <xf numFmtId="0" fontId="16" fillId="2" borderId="40" xfId="0" applyFont="1" applyFill="1" applyBorder="1" applyAlignment="1" applyProtection="1">
      <alignment horizontal="left" vertical="center" wrapText="1"/>
      <protection hidden="1"/>
    </xf>
    <xf numFmtId="0" fontId="16" fillId="2" borderId="0" xfId="0" applyFont="1" applyFill="1" applyAlignment="1" applyProtection="1">
      <alignment horizontal="left" vertical="center" wrapText="1"/>
      <protection hidden="1"/>
    </xf>
    <xf numFmtId="0" fontId="16" fillId="2" borderId="39" xfId="0" applyFont="1" applyFill="1" applyBorder="1" applyAlignment="1" applyProtection="1">
      <alignment horizontal="left" vertical="center" wrapText="1"/>
      <protection hidden="1"/>
    </xf>
    <xf numFmtId="0" fontId="16" fillId="2" borderId="38" xfId="0" applyFont="1" applyFill="1" applyBorder="1" applyAlignment="1" applyProtection="1">
      <alignment horizontal="left" vertical="center" wrapText="1"/>
      <protection hidden="1"/>
    </xf>
    <xf numFmtId="0" fontId="16" fillId="2" borderId="37" xfId="0" applyFont="1" applyFill="1" applyBorder="1" applyAlignment="1" applyProtection="1">
      <alignment horizontal="left" vertical="center" wrapText="1"/>
      <protection hidden="1"/>
    </xf>
    <xf numFmtId="0" fontId="16" fillId="2" borderId="36" xfId="0" applyFont="1" applyFill="1" applyBorder="1" applyAlignment="1" applyProtection="1">
      <alignment horizontal="left" vertical="center" wrapText="1"/>
      <protection hidden="1"/>
    </xf>
    <xf numFmtId="0" fontId="21" fillId="0" borderId="30" xfId="0" quotePrefix="1" applyFont="1" applyBorder="1" applyAlignment="1">
      <alignment horizontal="center" vertical="center"/>
    </xf>
    <xf numFmtId="0" fontId="21" fillId="0" borderId="42" xfId="0" quotePrefix="1" applyFont="1" applyBorder="1" applyAlignment="1">
      <alignment horizontal="center" vertical="center"/>
    </xf>
    <xf numFmtId="44" fontId="10" fillId="6" borderId="33" xfId="1" applyFont="1" applyFill="1" applyBorder="1" applyAlignment="1" applyProtection="1">
      <alignment horizontal="center" vertical="center" wrapText="1"/>
    </xf>
    <xf numFmtId="44" fontId="10" fillId="6" borderId="35" xfId="1" applyFont="1" applyFill="1" applyBorder="1" applyAlignment="1" applyProtection="1">
      <alignment horizontal="center" vertical="center" wrapText="1"/>
    </xf>
    <xf numFmtId="49" fontId="10" fillId="0" borderId="8" xfId="0" applyNumberFormat="1" applyFont="1" applyBorder="1" applyAlignment="1" applyProtection="1">
      <alignment horizontal="left"/>
      <protection locked="0"/>
    </xf>
    <xf numFmtId="0" fontId="10" fillId="0" borderId="8" xfId="0" applyFont="1" applyBorder="1" applyAlignment="1">
      <alignment horizontal="left" vertical="center"/>
    </xf>
    <xf numFmtId="0" fontId="10" fillId="0" borderId="18" xfId="0" applyFont="1" applyBorder="1" applyAlignment="1">
      <alignment horizontal="left" vertical="center"/>
    </xf>
    <xf numFmtId="0" fontId="31" fillId="10" borderId="32" xfId="0" applyFont="1" applyFill="1" applyBorder="1" applyAlignment="1">
      <alignment horizontal="center" vertical="center" wrapText="1"/>
    </xf>
    <xf numFmtId="0" fontId="31" fillId="10" borderId="4" xfId="0" applyFont="1" applyFill="1" applyBorder="1" applyAlignment="1">
      <alignment horizontal="center" vertical="center" wrapText="1"/>
    </xf>
    <xf numFmtId="0" fontId="33" fillId="0" borderId="0" xfId="4" applyFont="1" applyAlignment="1" applyProtection="1">
      <alignment horizontal="center" vertical="center"/>
      <protection hidden="1"/>
    </xf>
    <xf numFmtId="0" fontId="31" fillId="7" borderId="0" xfId="4" applyFont="1" applyFill="1" applyAlignment="1" applyProtection="1">
      <alignment horizontal="center" vertical="center"/>
      <protection hidden="1"/>
    </xf>
    <xf numFmtId="0" fontId="31" fillId="6" borderId="59" xfId="4" applyFont="1" applyFill="1" applyBorder="1" applyAlignment="1" applyProtection="1">
      <alignment horizontal="center" vertical="center" wrapText="1"/>
      <protection hidden="1"/>
    </xf>
    <xf numFmtId="0" fontId="31" fillId="6" borderId="60" xfId="4" applyFont="1" applyFill="1" applyBorder="1" applyAlignment="1" applyProtection="1">
      <alignment horizontal="center" vertical="center" wrapText="1"/>
      <protection hidden="1"/>
    </xf>
    <xf numFmtId="4" fontId="31" fillId="6" borderId="62" xfId="4" applyNumberFormat="1" applyFont="1" applyFill="1" applyBorder="1" applyAlignment="1" applyProtection="1">
      <alignment horizontal="center" vertical="center"/>
      <protection hidden="1"/>
    </xf>
    <xf numFmtId="4" fontId="31" fillId="6" borderId="61" xfId="4" applyNumberFormat="1" applyFont="1" applyFill="1" applyBorder="1" applyAlignment="1" applyProtection="1">
      <alignment horizontal="center" vertical="center"/>
      <protection hidden="1"/>
    </xf>
    <xf numFmtId="4" fontId="31" fillId="6" borderId="56" xfId="4" applyNumberFormat="1" applyFont="1" applyFill="1" applyBorder="1" applyAlignment="1" applyProtection="1">
      <alignment horizontal="center" vertical="center"/>
      <protection hidden="1"/>
    </xf>
    <xf numFmtId="4" fontId="31" fillId="6" borderId="55" xfId="4" applyNumberFormat="1" applyFont="1" applyFill="1" applyBorder="1" applyAlignment="1" applyProtection="1">
      <alignment horizontal="center" vertical="center"/>
      <protection hidden="1"/>
    </xf>
    <xf numFmtId="4" fontId="31" fillId="6" borderId="50" xfId="4" applyNumberFormat="1" applyFont="1" applyFill="1" applyBorder="1" applyAlignment="1" applyProtection="1">
      <alignment horizontal="center" vertical="center"/>
      <protection hidden="1"/>
    </xf>
    <xf numFmtId="4" fontId="31" fillId="6" borderId="49" xfId="4" applyNumberFormat="1" applyFont="1" applyFill="1" applyBorder="1" applyAlignment="1" applyProtection="1">
      <alignment horizontal="center" vertical="center"/>
      <protection hidden="1"/>
    </xf>
    <xf numFmtId="0" fontId="31" fillId="6" borderId="57" xfId="4" applyFont="1" applyFill="1" applyBorder="1" applyAlignment="1" applyProtection="1">
      <alignment horizontal="center" vertical="center"/>
      <protection hidden="1"/>
    </xf>
    <xf numFmtId="0" fontId="31" fillId="6" borderId="51" xfId="4" applyFont="1" applyFill="1" applyBorder="1" applyAlignment="1" applyProtection="1">
      <alignment horizontal="center" vertical="center"/>
      <protection hidden="1"/>
    </xf>
    <xf numFmtId="0" fontId="31" fillId="6" borderId="16" xfId="4" applyFont="1" applyFill="1" applyBorder="1" applyAlignment="1" applyProtection="1">
      <alignment horizontal="left" vertical="center" wrapText="1"/>
      <protection hidden="1"/>
    </xf>
    <xf numFmtId="0" fontId="31" fillId="6" borderId="8" xfId="4" applyFont="1" applyFill="1" applyBorder="1" applyAlignment="1" applyProtection="1">
      <alignment horizontal="left" vertical="center" wrapText="1"/>
      <protection hidden="1"/>
    </xf>
    <xf numFmtId="0" fontId="31" fillId="6" borderId="18" xfId="4" applyFont="1" applyFill="1" applyBorder="1" applyAlignment="1" applyProtection="1">
      <alignment horizontal="left" vertical="center" wrapText="1"/>
      <protection hidden="1"/>
    </xf>
  </cellXfs>
  <cellStyles count="6">
    <cellStyle name="Lien hypertexte" xfId="3" builtinId="8"/>
    <cellStyle name="Milliers" xfId="5" builtinId="3"/>
    <cellStyle name="Monétaire" xfId="1" builtinId="4"/>
    <cellStyle name="Normal" xfId="0" builtinId="0"/>
    <cellStyle name="Normal 2" xfId="4" xr:uid="{714034D5-6FC6-4955-AF7D-DB80F2FB6277}"/>
    <cellStyle name="Pourcentage" xfId="2" builtinId="5"/>
  </cellStyles>
  <dxfs count="0"/>
  <tableStyles count="0" defaultTableStyle="TableStyleMedium2" defaultPivotStyle="PivotStyleLight16"/>
  <colors>
    <mruColors>
      <color rgb="FFFF9999"/>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518160</xdr:colOff>
      <xdr:row>0</xdr:row>
      <xdr:rowOff>22860</xdr:rowOff>
    </xdr:from>
    <xdr:ext cx="1066801" cy="1102962"/>
    <xdr:pic>
      <xdr:nvPicPr>
        <xdr:cNvPr id="7" name="Image 6">
          <a:extLst>
            <a:ext uri="{FF2B5EF4-FFF2-40B4-BE49-F238E27FC236}">
              <a16:creationId xmlns:a16="http://schemas.microsoft.com/office/drawing/2014/main" id="{465EF13B-86AE-43B3-862F-89E80ACAF5FB}"/>
            </a:ext>
          </a:extLst>
        </xdr:cNvPr>
        <xdr:cNvPicPr>
          <a:picLocks noChangeAspect="1"/>
        </xdr:cNvPicPr>
      </xdr:nvPicPr>
      <xdr:blipFill rotWithShape="1">
        <a:blip xmlns:r="http://schemas.openxmlformats.org/officeDocument/2006/relationships" r:embed="rId1"/>
        <a:srcRect l="9589" t="7552" r="9589" b="7948"/>
        <a:stretch/>
      </xdr:blipFill>
      <xdr:spPr>
        <a:xfrm>
          <a:off x="7368540" y="22860"/>
          <a:ext cx="1066801" cy="1102962"/>
        </a:xfrm>
        <a:prstGeom prst="rect">
          <a:avLst/>
        </a:prstGeom>
      </xdr:spPr>
    </xdr:pic>
    <xdr:clientData/>
  </xdr:oneCellAnchor>
  <xdr:twoCellAnchor editAs="oneCell">
    <xdr:from>
      <xdr:col>10</xdr:col>
      <xdr:colOff>319571</xdr:colOff>
      <xdr:row>57</xdr:row>
      <xdr:rowOff>335280</xdr:rowOff>
    </xdr:from>
    <xdr:to>
      <xdr:col>10</xdr:col>
      <xdr:colOff>817577</xdr:colOff>
      <xdr:row>57</xdr:row>
      <xdr:rowOff>577388</xdr:rowOff>
    </xdr:to>
    <xdr:pic>
      <xdr:nvPicPr>
        <xdr:cNvPr id="8" name="Image 7">
          <a:extLst>
            <a:ext uri="{FF2B5EF4-FFF2-40B4-BE49-F238E27FC236}">
              <a16:creationId xmlns:a16="http://schemas.microsoft.com/office/drawing/2014/main" id="{47A19828-012E-4A5C-A9B6-97DC0488EA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16310" y="14250063"/>
          <a:ext cx="498006" cy="242108"/>
        </a:xfrm>
        <a:prstGeom prst="rect">
          <a:avLst/>
        </a:prstGeom>
        <a:noFill/>
      </xdr:spPr>
    </xdr:pic>
    <xdr:clientData/>
  </xdr:twoCellAnchor>
  <xdr:oneCellAnchor>
    <xdr:from>
      <xdr:col>9</xdr:col>
      <xdr:colOff>784861</xdr:colOff>
      <xdr:row>0</xdr:row>
      <xdr:rowOff>60961</xdr:rowOff>
    </xdr:from>
    <xdr:ext cx="1051560" cy="1021079"/>
    <xdr:sp macro="" textlink="">
      <xdr:nvSpPr>
        <xdr:cNvPr id="9" name="ZoneTexte 8">
          <a:extLst>
            <a:ext uri="{FF2B5EF4-FFF2-40B4-BE49-F238E27FC236}">
              <a16:creationId xmlns:a16="http://schemas.microsoft.com/office/drawing/2014/main" id="{8DC26AC7-84FA-436C-948E-30EAB9639BCD}"/>
            </a:ext>
          </a:extLst>
        </xdr:cNvPr>
        <xdr:cNvSpPr txBox="1"/>
      </xdr:nvSpPr>
      <xdr:spPr>
        <a:xfrm>
          <a:off x="8427721" y="60961"/>
          <a:ext cx="1051560" cy="102107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36000" rIns="72000" rtlCol="0" anchor="ctr" anchorCtr="0">
          <a:noAutofit/>
        </a:bodyPr>
        <a:lstStyle/>
        <a:p>
          <a:pPr marL="71755" algn="just">
            <a:spcBef>
              <a:spcPts val="300"/>
            </a:spcBef>
            <a:spcAft>
              <a:spcPts val="0"/>
            </a:spcAft>
          </a:pPr>
          <a:r>
            <a:rPr lang="fr-FR" sz="500">
              <a:effectLst/>
              <a:latin typeface="Arial" panose="020B0604020202020204" pitchFamily="34" charset="0"/>
              <a:ea typeface="Times New Roman" panose="02020603050405020304" pitchFamily="18" charset="0"/>
              <a:cs typeface="Times New Roman" panose="02020603050405020304" pitchFamily="18" charset="0"/>
            </a:rPr>
            <a:t>L’éco-prêt à taux zéro est l’un des dispositifs du plan gouvernemental de rénovation énergétique de l’habitat. </a:t>
          </a:r>
          <a:endParaRPr lang="fr-FR" sz="900">
            <a:effectLst/>
            <a:latin typeface="Arial" panose="020B0604020202020204" pitchFamily="34" charset="0"/>
            <a:ea typeface="Times New Roman" panose="02020603050405020304" pitchFamily="18" charset="0"/>
            <a:cs typeface="Times New Roman" panose="02020603050405020304" pitchFamily="18" charset="0"/>
          </a:endParaRPr>
        </a:p>
        <a:p>
          <a:pPr marL="71755" algn="just">
            <a:spcBef>
              <a:spcPts val="300"/>
            </a:spcBef>
            <a:spcAft>
              <a:spcPts val="0"/>
            </a:spcAft>
          </a:pPr>
          <a:r>
            <a:rPr lang="fr-FR" sz="500">
              <a:effectLst/>
              <a:latin typeface="Arial" panose="020B0604020202020204" pitchFamily="34" charset="0"/>
              <a:ea typeface="Times New Roman" panose="02020603050405020304" pitchFamily="18" charset="0"/>
              <a:cs typeface="Times New Roman" panose="02020603050405020304" pitchFamily="18" charset="0"/>
            </a:rPr>
            <a:t>Il permet de financer la rénovation énergétique des logements, et ainsi de réduire les consommations d’énergie et les émissions de gaz à effet de serre.</a:t>
          </a:r>
          <a:endParaRPr lang="fr-FR" sz="9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oneCellAnchor>
  <xdr:twoCellAnchor editAs="oneCell">
    <xdr:from>
      <xdr:col>1</xdr:col>
      <xdr:colOff>26780</xdr:colOff>
      <xdr:row>0</xdr:row>
      <xdr:rowOff>106432</xdr:rowOff>
    </xdr:from>
    <xdr:to>
      <xdr:col>2</xdr:col>
      <xdr:colOff>535099</xdr:colOff>
      <xdr:row>1</xdr:row>
      <xdr:rowOff>265044</xdr:rowOff>
    </xdr:to>
    <xdr:pic>
      <xdr:nvPicPr>
        <xdr:cNvPr id="2" name="Image 1" descr="Une image contenant texte, Police, Graphique, logo&#10;&#10;Description générée automatiquement">
          <a:extLst>
            <a:ext uri="{FF2B5EF4-FFF2-40B4-BE49-F238E27FC236}">
              <a16:creationId xmlns:a16="http://schemas.microsoft.com/office/drawing/2014/main" id="{80BF6ABD-FA24-8E1A-502C-C7C45D6F546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7780" y="106432"/>
          <a:ext cx="1585058" cy="4319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15</xdr:col>
      <xdr:colOff>307185</xdr:colOff>
      <xdr:row>0</xdr:row>
      <xdr:rowOff>611979</xdr:rowOff>
    </xdr:from>
    <xdr:ext cx="1123951" cy="1162051"/>
    <xdr:pic>
      <xdr:nvPicPr>
        <xdr:cNvPr id="2" name="Image 1">
          <a:extLst>
            <a:ext uri="{FF2B5EF4-FFF2-40B4-BE49-F238E27FC236}">
              <a16:creationId xmlns:a16="http://schemas.microsoft.com/office/drawing/2014/main" id="{FBD2E853-23DB-4049-9180-709BC0A21D26}"/>
            </a:ext>
          </a:extLst>
        </xdr:cNvPr>
        <xdr:cNvPicPr>
          <a:picLocks noChangeAspect="1"/>
        </xdr:cNvPicPr>
      </xdr:nvPicPr>
      <xdr:blipFill rotWithShape="1">
        <a:blip xmlns:r="http://schemas.openxmlformats.org/officeDocument/2006/relationships" r:embed="rId1"/>
        <a:srcRect l="9589" t="7552" r="9589" b="7948"/>
        <a:stretch/>
      </xdr:blipFill>
      <xdr:spPr>
        <a:xfrm>
          <a:off x="17011654" y="611979"/>
          <a:ext cx="1123951" cy="1162051"/>
        </a:xfrm>
        <a:prstGeom prst="rect">
          <a:avLst/>
        </a:prstGeom>
      </xdr:spPr>
    </xdr:pic>
    <xdr:clientData/>
  </xdr:oneCellAnchor>
  <xdr:twoCellAnchor editAs="oneCell">
    <xdr:from>
      <xdr:col>14</xdr:col>
      <xdr:colOff>228600</xdr:colOff>
      <xdr:row>513</xdr:row>
      <xdr:rowOff>163286</xdr:rowOff>
    </xdr:from>
    <xdr:to>
      <xdr:col>14</xdr:col>
      <xdr:colOff>694690</xdr:colOff>
      <xdr:row>513</xdr:row>
      <xdr:rowOff>410474</xdr:rowOff>
    </xdr:to>
    <xdr:pic>
      <xdr:nvPicPr>
        <xdr:cNvPr id="4" name="Image 3">
          <a:extLst>
            <a:ext uri="{FF2B5EF4-FFF2-40B4-BE49-F238E27FC236}">
              <a16:creationId xmlns:a16="http://schemas.microsoft.com/office/drawing/2014/main" id="{457B298E-572B-4AD4-895F-483B32114B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600714" y="212804829"/>
          <a:ext cx="472440" cy="245283"/>
        </a:xfrm>
        <a:prstGeom prst="rect">
          <a:avLst/>
        </a:prstGeom>
        <a:noFill/>
      </xdr:spPr>
    </xdr:pic>
    <xdr:clientData/>
  </xdr:twoCellAnchor>
  <xdr:twoCellAnchor editAs="oneCell">
    <xdr:from>
      <xdr:col>3</xdr:col>
      <xdr:colOff>48778</xdr:colOff>
      <xdr:row>0</xdr:row>
      <xdr:rowOff>0</xdr:rowOff>
    </xdr:from>
    <xdr:to>
      <xdr:col>3</xdr:col>
      <xdr:colOff>2162173</xdr:colOff>
      <xdr:row>0</xdr:row>
      <xdr:rowOff>571500</xdr:rowOff>
    </xdr:to>
    <xdr:pic>
      <xdr:nvPicPr>
        <xdr:cNvPr id="5" name="Image 4" descr="Une image contenant texte, Police, Graphique, logo&#10;&#10;Description générée automatiquement">
          <a:extLst>
            <a:ext uri="{FF2B5EF4-FFF2-40B4-BE49-F238E27FC236}">
              <a16:creationId xmlns:a16="http://schemas.microsoft.com/office/drawing/2014/main" id="{13775C45-9FE3-319D-20E2-AFBF090AA3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7642" y="0"/>
          <a:ext cx="2119745" cy="57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roupebpce-my.sharepoint.com/IDF%20ACTIVITES%20COPRO-BAILLEURS%20ACT/4-%20COPRO%20100/DOCUMENTS%20D'INSTRUCTION/FICHE%20D%20ANALYSE%2003%20JUILLE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roupebpce-my.sharepoint.com/IDF%20ACTIVITES%20COPRO-BAILLEURS%20ACT/DOSSIERS%20IDF/MODELE%20FICHE%20D%20ANALYSE%2027%20MAI.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roupebpce-my.sharepoint.com/Documents/!Iprox/FICHE%20DE%20DECISION.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roupebpce-my.sharepoint.com/personal/serge_tisserant_ceidf_caisse-epargne_fr/Documents/Documents/OFFRE%20COPROS/FORMULAIRES%20PR&#202;TS%20COPRO/ECO-PTZ%20COPRO/FICHE%20ANALYSE%20ECO-PTZ%20PL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US"/>
      <sheetName val="LETTRE EXCLU"/>
      <sheetName val="EXCLU"/>
      <sheetName val="SAISIE"/>
      <sheetName val="PRETS"/>
      <sheetName val="TE"/>
      <sheetName val="LETTRE ACCORD"/>
      <sheetName val="FdL-TESSI"/>
      <sheetName val="DOSSIER REFERENT PIECES COM"/>
      <sheetName val="LISTE ADHERENTS"/>
      <sheetName val="Analyse-CEGC"/>
      <sheetName val="CEGC"/>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US"/>
      <sheetName val="LETTRE EXCLU"/>
      <sheetName val="EXCLU"/>
      <sheetName val="SAISIE"/>
      <sheetName val="PRETS"/>
      <sheetName val="TE"/>
      <sheetName val="LETTRE ACCORD"/>
      <sheetName val="FdL-TESSI"/>
      <sheetName val="DOSSIER REFERENT PIECES COM"/>
      <sheetName val="LISTE ADHERENTS"/>
      <sheetName val="Analyse-CEGC"/>
      <sheetName val="CEGC"/>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US"/>
      <sheetName val="LETTRE EXCLU"/>
      <sheetName val="EXCLU"/>
      <sheetName val="SAISIE"/>
      <sheetName val="PRETS"/>
      <sheetName val="TE"/>
      <sheetName val="LETTRE ACCORD"/>
      <sheetName val="FdL-TESSI"/>
      <sheetName val="DOSSIER REFERENT PIECES COM"/>
      <sheetName val="LISTE ADHERENTS"/>
      <sheetName val="Analyse-CEGC"/>
      <sheetName val="CEGC"/>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E DE PRÊT"/>
      <sheetName val="FICHE ANALYSE"/>
      <sheetName val="RESERVE CEIDF"/>
      <sheetName val="SYNTHESE CEIDF"/>
      <sheetName val="Champs"/>
      <sheetName val="PLAN DE FINANCEMENT"/>
      <sheetName val="PLAN FI ECO-PTZ"/>
      <sheetName val="LISTE ADHERENTS 0"/>
      <sheetName val="TE"/>
      <sheetName val="CEGC"/>
      <sheetName val="MAIL CEGC"/>
      <sheetName val="RECAP CONTRAT"/>
      <sheetName val="F LIAISON TESSI NUM"/>
      <sheetName val="DOSSIER REFERENT TESSI NU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registre-coproprietes.gouv.fr/" TargetMode="External"/><Relationship Id="rId1" Type="http://schemas.openxmlformats.org/officeDocument/2006/relationships/hyperlink" Target="http://www.sirene.f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3874-84A1-472B-8612-F0D7D05BDAB2}">
  <sheetPr>
    <tabColor theme="8" tint="0.39997558519241921"/>
    <pageSetUpPr fitToPage="1"/>
  </sheetPr>
  <dimension ref="B1:R62"/>
  <sheetViews>
    <sheetView showGridLines="0" zoomScale="115" zoomScaleNormal="115" workbookViewId="0">
      <selection activeCell="F16" sqref="F16:G16"/>
    </sheetView>
  </sheetViews>
  <sheetFormatPr defaultColWidth="11.5703125" defaultRowHeight="14.45"/>
  <cols>
    <col min="1" max="1" width="5.42578125" style="186" customWidth="1"/>
    <col min="2" max="2" width="15.42578125" style="186" customWidth="1"/>
    <col min="3" max="3" width="15.140625" style="186" customWidth="1"/>
    <col min="4" max="4" width="14.140625" style="186" customWidth="1"/>
    <col min="5" max="5" width="12.28515625" style="186" customWidth="1"/>
    <col min="6" max="6" width="13" style="186" customWidth="1"/>
    <col min="7" max="7" width="12.85546875" style="186" customWidth="1"/>
    <col min="8" max="9" width="11.5703125" style="186"/>
    <col min="10" max="10" width="13" style="186" customWidth="1"/>
    <col min="11" max="11" width="13.85546875" style="186" customWidth="1"/>
    <col min="12" max="12" width="2.7109375" style="186" customWidth="1"/>
    <col min="13" max="16384" width="11.5703125" style="186"/>
  </cols>
  <sheetData>
    <row r="1" spans="2:18" ht="21.6" customHeight="1" thickBot="1">
      <c r="F1" s="264" t="s">
        <v>0</v>
      </c>
      <c r="G1" s="265"/>
    </row>
    <row r="2" spans="2:18" ht="22.9" customHeight="1">
      <c r="F2" s="266" t="s">
        <v>1</v>
      </c>
      <c r="G2" s="266"/>
    </row>
    <row r="3" spans="2:18" ht="23.45">
      <c r="B3" s="267" t="s">
        <v>2</v>
      </c>
      <c r="C3" s="267"/>
      <c r="D3" s="267"/>
      <c r="E3" s="267"/>
      <c r="F3" s="267"/>
      <c r="G3" s="267"/>
      <c r="H3" s="267"/>
      <c r="I3" s="267"/>
      <c r="J3" s="267"/>
      <c r="K3" s="267"/>
      <c r="O3" s="187"/>
      <c r="P3" s="187"/>
      <c r="Q3" s="187"/>
      <c r="R3" s="187"/>
    </row>
    <row r="4" spans="2:18" ht="15.75" customHeight="1">
      <c r="B4" s="268" t="s">
        <v>3</v>
      </c>
      <c r="C4" s="268"/>
      <c r="D4" s="268"/>
      <c r="E4" s="268"/>
      <c r="F4" s="268"/>
      <c r="G4" s="268"/>
      <c r="H4" s="268"/>
      <c r="I4" s="268"/>
      <c r="J4" s="268"/>
      <c r="K4" s="268"/>
      <c r="O4" s="188"/>
      <c r="P4" s="189"/>
      <c r="Q4" s="189"/>
      <c r="R4" s="189"/>
    </row>
    <row r="5" spans="2:18" ht="18.75" customHeight="1">
      <c r="B5" s="269"/>
      <c r="C5" s="269"/>
      <c r="D5" s="269"/>
      <c r="E5" s="269"/>
      <c r="F5" s="269"/>
      <c r="G5" s="269"/>
      <c r="H5" s="269"/>
      <c r="I5" s="269"/>
      <c r="J5" s="269"/>
      <c r="K5" s="269"/>
      <c r="O5" s="188"/>
      <c r="P5" s="189"/>
      <c r="Q5" s="189"/>
      <c r="R5" s="189"/>
    </row>
    <row r="6" spans="2:18" ht="15" thickBot="1">
      <c r="B6" s="260" t="s">
        <v>4</v>
      </c>
      <c r="C6" s="261"/>
      <c r="D6" s="262"/>
      <c r="E6" s="262"/>
      <c r="F6" s="262"/>
      <c r="G6" s="262"/>
      <c r="H6" s="262"/>
      <c r="I6" s="262"/>
      <c r="J6" s="262"/>
      <c r="K6" s="263"/>
      <c r="O6" s="188"/>
      <c r="P6" s="189"/>
      <c r="Q6" s="189"/>
      <c r="R6" s="189"/>
    </row>
    <row r="7" spans="2:18" ht="33.75" customHeight="1" thickBot="1">
      <c r="B7" s="270" t="s">
        <v>5</v>
      </c>
      <c r="C7" s="270"/>
      <c r="D7" s="274"/>
      <c r="E7" s="275"/>
      <c r="F7" s="275"/>
      <c r="G7" s="275"/>
      <c r="H7" s="275"/>
      <c r="I7" s="275"/>
      <c r="J7" s="275"/>
      <c r="K7" s="276"/>
      <c r="L7" s="190"/>
      <c r="O7" s="188"/>
      <c r="P7" s="189"/>
      <c r="Q7" s="189"/>
      <c r="R7" s="189"/>
    </row>
    <row r="8" spans="2:18" ht="16.899999999999999" customHeight="1" thickBot="1">
      <c r="B8" s="277" t="s">
        <v>6</v>
      </c>
      <c r="C8" s="278"/>
      <c r="D8" s="279"/>
      <c r="E8" s="280"/>
      <c r="F8" s="280"/>
      <c r="G8" s="280"/>
      <c r="H8" s="280"/>
      <c r="I8" s="280"/>
      <c r="J8" s="280"/>
      <c r="K8" s="281"/>
      <c r="O8" s="191"/>
      <c r="P8" s="188"/>
      <c r="Q8" s="188"/>
      <c r="R8" s="188"/>
    </row>
    <row r="9" spans="2:18" ht="16.899999999999999" customHeight="1" thickBot="1">
      <c r="C9" s="192" t="s">
        <v>7</v>
      </c>
      <c r="D9" s="193"/>
      <c r="G9" s="194" t="s">
        <v>8</v>
      </c>
      <c r="H9" s="279"/>
      <c r="I9" s="280"/>
      <c r="J9" s="280"/>
      <c r="K9" s="281"/>
      <c r="O9" s="191"/>
    </row>
    <row r="10" spans="2:18" ht="5.45" customHeight="1" thickBot="1">
      <c r="B10" s="195"/>
      <c r="C10" s="195"/>
      <c r="D10" s="196"/>
      <c r="E10" s="196"/>
      <c r="F10" s="196"/>
      <c r="G10" s="196"/>
      <c r="H10" s="196"/>
      <c r="I10" s="196"/>
      <c r="J10" s="196"/>
      <c r="K10" s="196"/>
      <c r="L10" s="190"/>
    </row>
    <row r="11" spans="2:18" ht="15.6" customHeight="1" thickBot="1">
      <c r="B11" s="272" t="s">
        <v>9</v>
      </c>
      <c r="C11" s="272"/>
      <c r="D11" s="287"/>
      <c r="E11" s="288"/>
      <c r="G11" s="272" t="s">
        <v>10</v>
      </c>
      <c r="H11" s="272"/>
      <c r="I11" s="272"/>
      <c r="J11" s="289"/>
      <c r="K11" s="290"/>
      <c r="O11" s="191"/>
    </row>
    <row r="12" spans="2:18" ht="27" customHeight="1">
      <c r="B12" s="272"/>
      <c r="C12" s="272"/>
      <c r="D12" s="282" t="s">
        <v>11</v>
      </c>
      <c r="E12" s="283"/>
      <c r="G12" s="272"/>
      <c r="H12" s="272"/>
      <c r="I12" s="272"/>
      <c r="J12" s="282" t="s">
        <v>12</v>
      </c>
      <c r="K12" s="283"/>
    </row>
    <row r="13" spans="2:18">
      <c r="B13" s="284" t="s">
        <v>13</v>
      </c>
      <c r="C13" s="284"/>
      <c r="D13" s="284"/>
      <c r="E13" s="284"/>
      <c r="F13" s="284"/>
      <c r="G13" s="284"/>
      <c r="H13" s="284"/>
      <c r="I13" s="284"/>
      <c r="J13" s="284"/>
      <c r="K13" s="284"/>
      <c r="O13" s="188"/>
    </row>
    <row r="14" spans="2:18">
      <c r="B14" s="260" t="s">
        <v>14</v>
      </c>
      <c r="C14" s="261"/>
      <c r="D14" s="261"/>
      <c r="E14" s="261"/>
      <c r="F14" s="261"/>
      <c r="G14" s="261"/>
      <c r="H14" s="261"/>
      <c r="I14" s="261"/>
      <c r="J14" s="261"/>
      <c r="K14" s="285"/>
      <c r="O14" s="188"/>
    </row>
    <row r="15" spans="2:18" ht="6.6" customHeight="1" thickBot="1">
      <c r="O15" s="188"/>
    </row>
    <row r="16" spans="2:18" ht="30" customHeight="1" thickBot="1">
      <c r="B16" s="270" t="s">
        <v>15</v>
      </c>
      <c r="C16" s="271"/>
      <c r="D16" s="197"/>
      <c r="E16" s="198" t="s">
        <v>16</v>
      </c>
      <c r="F16" s="272" t="s">
        <v>17</v>
      </c>
      <c r="G16" s="273"/>
      <c r="H16" s="199"/>
      <c r="I16" s="286" t="s">
        <v>18</v>
      </c>
      <c r="J16" s="271"/>
      <c r="K16" s="199"/>
      <c r="O16" s="188"/>
    </row>
    <row r="17" spans="2:18" ht="30" customHeight="1" thickBot="1">
      <c r="B17" s="270" t="s">
        <v>19</v>
      </c>
      <c r="C17" s="271"/>
      <c r="D17" s="197"/>
      <c r="E17" s="198" t="s">
        <v>16</v>
      </c>
      <c r="H17" s="192" t="s">
        <v>20</v>
      </c>
      <c r="I17" s="270" t="s">
        <v>21</v>
      </c>
      <c r="J17" s="271" t="s">
        <v>22</v>
      </c>
      <c r="K17" s="199"/>
      <c r="R17" s="200"/>
    </row>
    <row r="18" spans="2:18" ht="27.6" customHeight="1" thickBot="1">
      <c r="B18" s="270" t="s">
        <v>23</v>
      </c>
      <c r="C18" s="270"/>
      <c r="D18" s="232"/>
      <c r="F18" s="272" t="s">
        <v>24</v>
      </c>
      <c r="G18" s="273"/>
      <c r="H18" s="199"/>
      <c r="I18" s="270" t="s">
        <v>25</v>
      </c>
      <c r="J18" s="271"/>
      <c r="K18" s="199"/>
    </row>
    <row r="19" spans="2:18" ht="5.45" customHeight="1">
      <c r="B19" s="201"/>
      <c r="C19" s="201"/>
      <c r="D19" s="201"/>
      <c r="E19" s="201"/>
      <c r="F19" s="201"/>
      <c r="G19" s="190"/>
    </row>
    <row r="20" spans="2:18" ht="19.149999999999999" customHeight="1" thickBot="1">
      <c r="B20" s="291" t="s">
        <v>26</v>
      </c>
      <c r="C20" s="261"/>
      <c r="D20" s="262"/>
      <c r="E20" s="262"/>
      <c r="F20" s="262"/>
      <c r="G20" s="262"/>
      <c r="H20" s="262"/>
      <c r="I20" s="262"/>
      <c r="J20" s="262"/>
      <c r="K20" s="263"/>
    </row>
    <row r="21" spans="2:18" ht="25.9" customHeight="1" thickBot="1">
      <c r="B21" s="190" t="s">
        <v>27</v>
      </c>
      <c r="C21" s="190"/>
      <c r="D21" s="301"/>
      <c r="E21" s="302"/>
      <c r="F21" s="303"/>
      <c r="G21" s="303"/>
      <c r="H21" s="303"/>
      <c r="I21" s="303"/>
      <c r="J21" s="303"/>
      <c r="K21" s="304"/>
      <c r="N21" s="190"/>
    </row>
    <row r="22" spans="2:18" ht="27.6" customHeight="1" thickBot="1">
      <c r="B22" s="202" t="s">
        <v>28</v>
      </c>
      <c r="C22" s="305"/>
      <c r="D22" s="303"/>
      <c r="E22" s="304"/>
      <c r="F22" s="306" t="s">
        <v>29</v>
      </c>
      <c r="G22" s="306"/>
      <c r="H22" s="306"/>
      <c r="I22" s="203"/>
      <c r="J22" s="307" t="s">
        <v>30</v>
      </c>
      <c r="K22" s="204" t="s">
        <v>31</v>
      </c>
      <c r="N22" s="190"/>
    </row>
    <row r="23" spans="2:18" ht="25.9" customHeight="1" thickBot="1">
      <c r="B23" s="202" t="s">
        <v>32</v>
      </c>
      <c r="C23" s="305"/>
      <c r="D23" s="303"/>
      <c r="E23" s="304"/>
      <c r="F23" s="308" t="s">
        <v>33</v>
      </c>
      <c r="G23" s="308"/>
      <c r="H23" s="308"/>
      <c r="I23" s="199"/>
      <c r="J23" s="307"/>
      <c r="K23" s="205" t="e">
        <f>(I22-I23)/I22</f>
        <v>#DIV/0!</v>
      </c>
      <c r="N23" s="190"/>
    </row>
    <row r="24" spans="2:18" ht="30" customHeight="1">
      <c r="B24" s="270" t="s">
        <v>34</v>
      </c>
      <c r="C24" s="270"/>
      <c r="D24" s="270"/>
      <c r="E24" s="270"/>
      <c r="F24" s="270"/>
      <c r="G24" s="270"/>
      <c r="H24" s="270"/>
      <c r="I24" s="292"/>
      <c r="J24" s="292"/>
      <c r="K24" s="292"/>
    </row>
    <row r="25" spans="2:18" ht="15" thickBot="1">
      <c r="B25" s="293" t="s">
        <v>35</v>
      </c>
      <c r="C25" s="293"/>
      <c r="D25" s="293"/>
      <c r="E25" s="293"/>
      <c r="F25" s="293"/>
      <c r="G25" s="293"/>
      <c r="H25" s="293"/>
      <c r="I25" s="294"/>
      <c r="J25" s="294"/>
      <c r="K25" s="294"/>
    </row>
    <row r="26" spans="2:18" ht="24" customHeight="1" thickBot="1">
      <c r="B26" s="192" t="s">
        <v>36</v>
      </c>
      <c r="C26" s="295"/>
      <c r="D26" s="296"/>
      <c r="E26" s="296"/>
      <c r="F26" s="297"/>
      <c r="G26" s="277" t="s">
        <v>37</v>
      </c>
      <c r="H26" s="277"/>
      <c r="I26" s="298"/>
      <c r="J26" s="299"/>
      <c r="K26" s="300"/>
      <c r="Q26" s="190"/>
      <c r="R26" s="190"/>
    </row>
    <row r="27" spans="2:18" ht="24" customHeight="1" thickBot="1">
      <c r="B27" s="192" t="s">
        <v>38</v>
      </c>
      <c r="C27" s="305"/>
      <c r="D27" s="303"/>
      <c r="E27" s="303"/>
      <c r="F27" s="304"/>
      <c r="G27" s="277" t="s">
        <v>39</v>
      </c>
      <c r="H27" s="277"/>
      <c r="I27" s="309"/>
      <c r="J27" s="310"/>
      <c r="K27" s="311"/>
    </row>
    <row r="28" spans="2:18" ht="24" customHeight="1" thickBot="1">
      <c r="B28" s="192" t="s">
        <v>40</v>
      </c>
      <c r="C28" s="206"/>
      <c r="D28" s="194" t="s">
        <v>8</v>
      </c>
      <c r="E28" s="305"/>
      <c r="F28" s="304"/>
      <c r="G28" s="277" t="s">
        <v>41</v>
      </c>
      <c r="H28" s="277"/>
      <c r="I28" s="305"/>
      <c r="J28" s="303"/>
      <c r="K28" s="304"/>
      <c r="N28" s="207"/>
    </row>
    <row r="29" spans="2:18" ht="6.6" customHeight="1" thickBot="1">
      <c r="B29" s="192"/>
      <c r="C29" s="192"/>
      <c r="D29" s="194"/>
      <c r="E29" s="208"/>
      <c r="F29" s="208"/>
      <c r="G29" s="192"/>
      <c r="H29" s="192"/>
      <c r="I29" s="209"/>
      <c r="J29" s="209"/>
      <c r="K29" s="209"/>
    </row>
    <row r="30" spans="2:18" ht="16.899999999999999" customHeight="1" thickBot="1">
      <c r="B30" s="270" t="s">
        <v>42</v>
      </c>
      <c r="C30" s="270"/>
      <c r="D30" s="312"/>
      <c r="E30" s="313"/>
      <c r="F30" s="314"/>
      <c r="G30" s="277" t="s">
        <v>43</v>
      </c>
      <c r="H30" s="277"/>
      <c r="I30" s="277"/>
      <c r="J30" s="278"/>
      <c r="K30" s="210"/>
    </row>
    <row r="31" spans="2:18" ht="16.899999999999999" customHeight="1" thickBot="1">
      <c r="B31" s="270"/>
      <c r="C31" s="270"/>
      <c r="D31" s="315"/>
      <c r="E31" s="316"/>
      <c r="F31" s="317"/>
      <c r="G31" s="277" t="s">
        <v>44</v>
      </c>
      <c r="H31" s="277"/>
      <c r="I31" s="277"/>
      <c r="J31" s="277"/>
      <c r="K31" s="210"/>
    </row>
    <row r="32" spans="2:18" ht="7.9" customHeight="1" thickBot="1">
      <c r="B32" s="204"/>
      <c r="C32" s="204"/>
      <c r="D32" s="204"/>
      <c r="E32" s="204"/>
      <c r="F32" s="204"/>
      <c r="G32" s="192"/>
      <c r="H32" s="192"/>
      <c r="I32" s="208"/>
      <c r="J32" s="208"/>
      <c r="K32" s="211"/>
    </row>
    <row r="33" spans="2:12" ht="30" customHeight="1" thickBot="1">
      <c r="B33" s="318" t="s">
        <v>45</v>
      </c>
      <c r="C33" s="319"/>
      <c r="D33" s="319"/>
      <c r="E33" s="319"/>
      <c r="F33" s="319"/>
      <c r="G33" s="320"/>
      <c r="H33" s="321"/>
      <c r="I33" s="321"/>
      <c r="J33" s="321"/>
      <c r="K33" s="322"/>
    </row>
    <row r="34" spans="2:12" ht="18.600000000000001" customHeight="1" thickBot="1">
      <c r="B34" s="325" t="s">
        <v>46</v>
      </c>
      <c r="C34" s="326"/>
      <c r="D34" s="326"/>
      <c r="E34" s="326"/>
      <c r="F34" s="326"/>
      <c r="G34" s="326"/>
      <c r="H34" s="326"/>
      <c r="I34" s="326"/>
      <c r="J34" s="326"/>
      <c r="K34" s="327"/>
    </row>
    <row r="35" spans="2:12" ht="30" customHeight="1" thickBot="1">
      <c r="B35" s="328" t="s">
        <v>47</v>
      </c>
      <c r="C35" s="270"/>
      <c r="D35" s="329"/>
      <c r="E35" s="330"/>
      <c r="F35" s="270" t="s">
        <v>48</v>
      </c>
      <c r="G35" s="270"/>
      <c r="H35" s="331"/>
      <c r="I35" s="332"/>
      <c r="J35" s="332"/>
      <c r="K35" s="333"/>
    </row>
    <row r="36" spans="2:12" ht="21" customHeight="1" thickBot="1">
      <c r="B36" s="334" t="s">
        <v>49</v>
      </c>
      <c r="C36" s="335"/>
      <c r="D36" s="335"/>
      <c r="E36" s="335"/>
      <c r="F36" s="335"/>
      <c r="G36" s="335"/>
      <c r="H36" s="335"/>
      <c r="I36" s="335"/>
      <c r="J36" s="335"/>
      <c r="K36" s="336"/>
    </row>
    <row r="37" spans="2:12" ht="9.6" customHeight="1">
      <c r="B37" s="212"/>
      <c r="C37" s="212"/>
      <c r="D37" s="212"/>
      <c r="E37" s="212"/>
      <c r="F37" s="212"/>
      <c r="G37" s="212"/>
      <c r="H37" s="212"/>
      <c r="I37" s="212"/>
      <c r="J37" s="212"/>
      <c r="K37" s="212"/>
    </row>
    <row r="38" spans="2:12" ht="28.15" customHeight="1">
      <c r="B38" s="337" t="s">
        <v>50</v>
      </c>
      <c r="C38" s="337"/>
      <c r="D38" s="337"/>
      <c r="E38" s="337"/>
      <c r="F38" s="337"/>
      <c r="G38" s="337"/>
      <c r="H38" s="337"/>
      <c r="I38" s="337"/>
      <c r="J38" s="337"/>
      <c r="K38" s="337"/>
    </row>
    <row r="39" spans="2:12" ht="7.15" customHeight="1">
      <c r="B39" s="213"/>
      <c r="C39" s="213"/>
      <c r="D39" s="213"/>
      <c r="E39" s="213"/>
      <c r="F39" s="213"/>
      <c r="G39" s="213"/>
      <c r="H39" s="213"/>
      <c r="I39" s="213"/>
      <c r="J39" s="213"/>
      <c r="K39" s="213"/>
    </row>
    <row r="40" spans="2:12" ht="15" thickBot="1">
      <c r="B40" s="191" t="s">
        <v>51</v>
      </c>
    </row>
    <row r="41" spans="2:12" ht="15" thickBot="1">
      <c r="B41" s="190" t="s">
        <v>52</v>
      </c>
      <c r="C41" s="214"/>
      <c r="D41" s="214"/>
      <c r="E41" s="338"/>
      <c r="F41" s="339"/>
      <c r="H41" s="277" t="s">
        <v>53</v>
      </c>
      <c r="I41" s="277"/>
      <c r="J41" s="278"/>
      <c r="K41" s="215"/>
    </row>
    <row r="42" spans="2:12" ht="15" thickBot="1">
      <c r="B42" s="190" t="s">
        <v>54</v>
      </c>
      <c r="C42" s="214"/>
      <c r="D42" s="214"/>
      <c r="E42" s="305"/>
      <c r="F42" s="304"/>
      <c r="G42" s="340" t="s">
        <v>55</v>
      </c>
      <c r="H42" s="341"/>
      <c r="I42" s="341"/>
      <c r="J42" s="342"/>
      <c r="K42" s="210"/>
    </row>
    <row r="43" spans="2:12" ht="15" thickBot="1">
      <c r="B43" s="190" t="s">
        <v>56</v>
      </c>
      <c r="C43" s="214"/>
      <c r="D43" s="192" t="s">
        <v>57</v>
      </c>
      <c r="E43" s="323"/>
      <c r="F43" s="324"/>
    </row>
    <row r="44" spans="2:12" ht="15" thickBot="1">
      <c r="B44" s="214"/>
      <c r="C44" s="214"/>
      <c r="D44" s="192" t="s">
        <v>58</v>
      </c>
      <c r="E44" s="323"/>
      <c r="F44" s="324"/>
      <c r="G44" s="216"/>
      <c r="H44" s="217"/>
      <c r="I44" s="192" t="s">
        <v>59</v>
      </c>
      <c r="J44" s="343"/>
      <c r="K44" s="344"/>
    </row>
    <row r="45" spans="2:12" ht="15" thickBot="1">
      <c r="B45" s="190" t="s">
        <v>60</v>
      </c>
      <c r="C45" s="214"/>
      <c r="D45" s="214"/>
      <c r="E45" s="345"/>
      <c r="F45" s="346"/>
      <c r="G45" s="346"/>
      <c r="H45" s="346"/>
      <c r="I45" s="346"/>
      <c r="J45" s="346"/>
      <c r="K45" s="347"/>
    </row>
    <row r="46" spans="2:12" ht="7.15" customHeight="1"/>
    <row r="47" spans="2:12" ht="15" thickBot="1">
      <c r="B47" s="191" t="s">
        <v>61</v>
      </c>
      <c r="L47" s="348" t="s">
        <v>62</v>
      </c>
    </row>
    <row r="48" spans="2:12" ht="15" thickBot="1">
      <c r="B48" s="277" t="s">
        <v>63</v>
      </c>
      <c r="C48" s="277"/>
      <c r="D48" s="277"/>
      <c r="E48" s="277"/>
      <c r="F48" s="277"/>
      <c r="G48" s="218"/>
      <c r="H48" s="277" t="s">
        <v>64</v>
      </c>
      <c r="I48" s="277"/>
      <c r="J48" s="219"/>
      <c r="K48" s="220" t="e">
        <v>#DIV/0!</v>
      </c>
      <c r="L48" s="348"/>
    </row>
    <row r="49" spans="2:16" ht="6" customHeight="1">
      <c r="H49" s="221"/>
      <c r="I49" s="221"/>
      <c r="J49" s="221"/>
      <c r="K49" s="221"/>
      <c r="L49" s="348"/>
    </row>
    <row r="50" spans="2:16">
      <c r="B50" s="349" t="s">
        <v>65</v>
      </c>
      <c r="C50" s="350"/>
      <c r="D50" s="350"/>
      <c r="E50" s="350"/>
      <c r="F50" s="350"/>
      <c r="G50" s="350"/>
      <c r="H50" s="350"/>
      <c r="I50" s="350"/>
      <c r="J50" s="350"/>
      <c r="K50" s="351"/>
      <c r="L50" s="348"/>
    </row>
    <row r="51" spans="2:16" ht="28.15" customHeight="1" thickBot="1">
      <c r="B51" s="277" t="s">
        <v>66</v>
      </c>
      <c r="C51" s="277"/>
      <c r="D51" s="277"/>
      <c r="E51" s="352">
        <f>'PLAN DE FINANCEMENT'!F31</f>
        <v>100000</v>
      </c>
      <c r="F51" s="353"/>
      <c r="G51" s="222"/>
      <c r="H51" s="354" t="s">
        <v>67</v>
      </c>
      <c r="I51" s="355"/>
      <c r="J51" s="355"/>
      <c r="K51" s="355"/>
      <c r="L51" s="348"/>
    </row>
    <row r="52" spans="2:16" ht="28.15" customHeight="1" thickBot="1">
      <c r="B52" s="270" t="s">
        <v>68</v>
      </c>
      <c r="C52" s="270"/>
      <c r="D52" s="271"/>
      <c r="E52" s="356"/>
      <c r="F52" s="357"/>
      <c r="G52" s="223" t="s">
        <v>69</v>
      </c>
      <c r="H52" s="358" t="s">
        <v>70</v>
      </c>
      <c r="I52" s="271"/>
      <c r="J52" s="359" t="s">
        <v>71</v>
      </c>
      <c r="K52" s="360"/>
      <c r="L52" s="348"/>
    </row>
    <row r="53" spans="2:16" ht="28.15" customHeight="1" thickBot="1">
      <c r="B53" s="270" t="s">
        <v>72</v>
      </c>
      <c r="C53" s="277"/>
      <c r="D53" s="277"/>
      <c r="E53" s="361">
        <f>E51-E52</f>
        <v>100000</v>
      </c>
      <c r="F53" s="362"/>
      <c r="H53" s="358" t="s">
        <v>73</v>
      </c>
      <c r="I53" s="271"/>
      <c r="J53" s="363"/>
      <c r="K53" s="364"/>
      <c r="L53" s="348"/>
    </row>
    <row r="54" spans="2:16" ht="28.15" customHeight="1" thickBot="1">
      <c r="B54" s="270" t="s">
        <v>74</v>
      </c>
      <c r="C54" s="270"/>
      <c r="D54" s="270"/>
      <c r="E54" s="369">
        <f>E53-(E55+E56)</f>
        <v>84000</v>
      </c>
      <c r="F54" s="370"/>
      <c r="G54" s="224"/>
      <c r="H54" s="358" t="s">
        <v>75</v>
      </c>
      <c r="I54" s="271"/>
      <c r="J54" s="363">
        <v>0</v>
      </c>
      <c r="K54" s="364"/>
      <c r="L54" s="348"/>
    </row>
    <row r="55" spans="2:16" ht="28.15" customHeight="1" thickBot="1">
      <c r="B55" s="365" t="s">
        <v>76</v>
      </c>
      <c r="C55" s="365"/>
      <c r="D55" s="365"/>
      <c r="E55" s="366">
        <f>'LISTE COPROPRIETAIRES ADHERENTS'!M509</f>
        <v>8000</v>
      </c>
      <c r="F55" s="367"/>
      <c r="H55" s="337" t="s">
        <v>77</v>
      </c>
      <c r="I55" s="337"/>
      <c r="J55" s="337"/>
      <c r="K55" s="225" t="s">
        <v>78</v>
      </c>
      <c r="L55" s="348"/>
    </row>
    <row r="56" spans="2:16" ht="28.15" customHeight="1" thickBot="1">
      <c r="B56" s="365" t="s">
        <v>79</v>
      </c>
      <c r="C56" s="365"/>
      <c r="D56" s="365"/>
      <c r="E56" s="366">
        <f>'LISTE COPROPRIETAIRES ADHERENTS'!N509</f>
        <v>8000</v>
      </c>
      <c r="F56" s="367"/>
      <c r="G56" s="226"/>
      <c r="H56" s="226"/>
      <c r="I56" s="226"/>
      <c r="J56" s="226"/>
      <c r="K56" s="227" t="s">
        <v>80</v>
      </c>
      <c r="L56" s="348"/>
    </row>
    <row r="57" spans="2:16" ht="14.45" customHeight="1">
      <c r="B57" s="228"/>
      <c r="C57" s="228"/>
      <c r="D57" s="228"/>
      <c r="E57" s="228"/>
      <c r="F57" s="228"/>
      <c r="G57" s="226"/>
      <c r="H57" s="226"/>
      <c r="I57" s="226"/>
      <c r="J57" s="226"/>
      <c r="K57" s="198"/>
      <c r="L57" s="348"/>
    </row>
    <row r="58" spans="2:16" ht="46.9" customHeight="1">
      <c r="B58" s="368" t="s">
        <v>81</v>
      </c>
      <c r="C58" s="368"/>
      <c r="D58" s="368"/>
      <c r="E58" s="368"/>
      <c r="F58" s="368"/>
      <c r="G58" s="368"/>
      <c r="H58" s="368"/>
      <c r="I58" s="368"/>
      <c r="J58" s="368"/>
      <c r="K58" s="368"/>
      <c r="L58" s="348"/>
      <c r="N58" s="229"/>
    </row>
    <row r="59" spans="2:16">
      <c r="B59" s="230"/>
      <c r="C59" s="230"/>
      <c r="D59" s="230"/>
      <c r="E59" s="230"/>
      <c r="F59" s="230"/>
      <c r="G59" s="230"/>
      <c r="H59" s="230"/>
      <c r="I59" s="230"/>
      <c r="J59" s="230"/>
      <c r="K59" s="230"/>
      <c r="L59" s="231"/>
    </row>
    <row r="60" spans="2:16">
      <c r="B60" s="230"/>
      <c r="C60" s="230"/>
      <c r="D60" s="230"/>
      <c r="E60" s="230"/>
      <c r="F60" s="230"/>
      <c r="G60" s="230"/>
      <c r="H60" s="230"/>
      <c r="I60" s="230"/>
      <c r="J60" s="230"/>
      <c r="K60" s="230"/>
      <c r="L60" s="231"/>
    </row>
    <row r="61" spans="2:16">
      <c r="B61" s="230"/>
      <c r="C61" s="230"/>
      <c r="D61" s="230"/>
      <c r="E61" s="230"/>
      <c r="F61" s="230"/>
      <c r="G61" s="230"/>
      <c r="H61" s="230"/>
      <c r="I61" s="230"/>
      <c r="J61" s="230"/>
      <c r="K61" s="230"/>
      <c r="L61" s="231"/>
    </row>
    <row r="62" spans="2:16">
      <c r="L62" s="231"/>
      <c r="O62" s="221"/>
      <c r="P62" s="221"/>
    </row>
  </sheetData>
  <sheetProtection algorithmName="SHA-512" hashValue="aPCXENFQoJoQ3s82UUzSdoTbjXBAiVMIydfgsIq6JioQM0rRChKLjCd3Mbbqx8eL8Vv/M1b+Asnob59xM7yJ0w==" saltValue="q8bHsN5OUheFDtXZmhnVkA==" spinCount="100000" sheet="1" objects="1"/>
  <mergeCells count="92">
    <mergeCell ref="H53:I53"/>
    <mergeCell ref="J53:K53"/>
    <mergeCell ref="B56:D56"/>
    <mergeCell ref="E56:F56"/>
    <mergeCell ref="B58:K58"/>
    <mergeCell ref="B54:D54"/>
    <mergeCell ref="E54:F54"/>
    <mergeCell ref="H54:I54"/>
    <mergeCell ref="J54:K54"/>
    <mergeCell ref="B55:D55"/>
    <mergeCell ref="E55:F55"/>
    <mergeCell ref="H55:J55"/>
    <mergeCell ref="E44:F44"/>
    <mergeCell ref="J44:K44"/>
    <mergeCell ref="E45:K45"/>
    <mergeCell ref="L47:L58"/>
    <mergeCell ref="B48:F48"/>
    <mergeCell ref="H48:I48"/>
    <mergeCell ref="B50:K50"/>
    <mergeCell ref="B51:D51"/>
    <mergeCell ref="E51:F51"/>
    <mergeCell ref="H51:K51"/>
    <mergeCell ref="B52:D52"/>
    <mergeCell ref="E52:F52"/>
    <mergeCell ref="H52:I52"/>
    <mergeCell ref="J52:K52"/>
    <mergeCell ref="B53:D53"/>
    <mergeCell ref="E53:F53"/>
    <mergeCell ref="E43:F43"/>
    <mergeCell ref="B34:K34"/>
    <mergeCell ref="B35:C35"/>
    <mergeCell ref="D35:E35"/>
    <mergeCell ref="F35:G35"/>
    <mergeCell ref="H35:K35"/>
    <mergeCell ref="B36:K36"/>
    <mergeCell ref="B38:K38"/>
    <mergeCell ref="E41:F41"/>
    <mergeCell ref="H41:J41"/>
    <mergeCell ref="E42:F42"/>
    <mergeCell ref="G42:J42"/>
    <mergeCell ref="B30:C31"/>
    <mergeCell ref="D30:F31"/>
    <mergeCell ref="G30:J30"/>
    <mergeCell ref="G31:J31"/>
    <mergeCell ref="B33:F33"/>
    <mergeCell ref="G33:K33"/>
    <mergeCell ref="C27:F27"/>
    <mergeCell ref="G27:H27"/>
    <mergeCell ref="I27:K27"/>
    <mergeCell ref="E28:F28"/>
    <mergeCell ref="G28:H28"/>
    <mergeCell ref="I28:K28"/>
    <mergeCell ref="B20:K20"/>
    <mergeCell ref="B24:H24"/>
    <mergeCell ref="I24:K24"/>
    <mergeCell ref="B25:K25"/>
    <mergeCell ref="C26:F26"/>
    <mergeCell ref="G26:H26"/>
    <mergeCell ref="I26:K26"/>
    <mergeCell ref="D21:K21"/>
    <mergeCell ref="C22:E22"/>
    <mergeCell ref="F22:H22"/>
    <mergeCell ref="J22:J23"/>
    <mergeCell ref="C23:E23"/>
    <mergeCell ref="F23:H23"/>
    <mergeCell ref="D11:E11"/>
    <mergeCell ref="G11:I12"/>
    <mergeCell ref="J11:K11"/>
    <mergeCell ref="D12:E12"/>
    <mergeCell ref="I18:J18"/>
    <mergeCell ref="B17:C17"/>
    <mergeCell ref="I17:J17"/>
    <mergeCell ref="B18:C18"/>
    <mergeCell ref="F18:G18"/>
    <mergeCell ref="B7:C7"/>
    <mergeCell ref="D7:K7"/>
    <mergeCell ref="B8:C8"/>
    <mergeCell ref="D8:K8"/>
    <mergeCell ref="H9:K9"/>
    <mergeCell ref="J12:K12"/>
    <mergeCell ref="B13:K13"/>
    <mergeCell ref="B14:K14"/>
    <mergeCell ref="B16:C16"/>
    <mergeCell ref="F16:G16"/>
    <mergeCell ref="I16:J16"/>
    <mergeCell ref="B11:C12"/>
    <mergeCell ref="B6:K6"/>
    <mergeCell ref="F1:G1"/>
    <mergeCell ref="F2:G2"/>
    <mergeCell ref="B3:K3"/>
    <mergeCell ref="B4:K4"/>
    <mergeCell ref="B5:K5"/>
  </mergeCells>
  <dataValidations count="2">
    <dataValidation type="list" allowBlank="1" showInputMessage="1" showErrorMessage="1" sqref="K55" xr:uid="{D1D03BBF-29AF-45B0-8600-488C6E22A36F}">
      <formula1>"OUI,NON"</formula1>
    </dataValidation>
    <dataValidation type="list" allowBlank="1" showInputMessage="1" showErrorMessage="1" sqref="J52:K52" xr:uid="{99F40214-5935-4BD9-B5C0-3537F2C51127}">
      <formula1>"Estimé,Prévisionnel (calculé),Notifié (notifications attributives reçues),Des acomptes ont déjà été versés"</formula1>
    </dataValidation>
  </dataValidations>
  <hyperlinks>
    <hyperlink ref="D12:E12" r:id="rId1" display="à vérifier sur www.sirene.fr" xr:uid="{FFF37BFF-9862-4DC8-8E93-82E304B78908}"/>
    <hyperlink ref="J12" r:id="rId2" location="/" display="à vérifier sur https://www.registre-coproprietes.gouv.fr" xr:uid="{493FAAF1-AB67-4393-B165-79D101BFE7C2}"/>
  </hyperlinks>
  <printOptions horizontalCentered="1"/>
  <pageMargins left="0.23622047244094491" right="0.23622047244094491" top="0.35433070866141736" bottom="0.35433070866141736" header="0.31496062992125984" footer="0.31496062992125984"/>
  <pageSetup paperSize="9" scale="68"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98E2-76A5-46E4-B86B-E1F78EAE1511}">
  <sheetPr filterMode="1">
    <tabColor rgb="FFFF9999"/>
    <pageSetUpPr fitToPage="1"/>
  </sheetPr>
  <dimension ref="A1:AK684"/>
  <sheetViews>
    <sheetView showGridLines="0" tabSelected="1" zoomScale="50" zoomScaleNormal="50" workbookViewId="0">
      <selection activeCell="J16" sqref="J16"/>
    </sheetView>
  </sheetViews>
  <sheetFormatPr defaultColWidth="11.5703125" defaultRowHeight="15" customHeight="1"/>
  <cols>
    <col min="1" max="1" width="5.5703125" customWidth="1"/>
    <col min="2" max="3" width="12.85546875" style="237" customWidth="1"/>
    <col min="4" max="4" width="38.5703125" style="93" customWidth="1"/>
    <col min="5" max="5" width="17" style="94" customWidth="1"/>
    <col min="6" max="6" width="16.85546875" style="94" customWidth="1"/>
    <col min="7" max="7" width="17" style="95" customWidth="1"/>
    <col min="8" max="9" width="17" style="94" customWidth="1"/>
    <col min="10" max="10" width="17.140625" style="94" customWidth="1"/>
    <col min="11" max="11" width="17" style="93" customWidth="1"/>
    <col min="12" max="12" width="20.28515625" style="94" customWidth="1"/>
    <col min="13" max="13" width="21" style="93" customWidth="1"/>
    <col min="14" max="14" width="21.5703125" style="93" customWidth="1"/>
    <col min="15" max="15" width="11.85546875" style="93" customWidth="1"/>
    <col min="16" max="16" width="24" style="93" customWidth="1"/>
    <col min="17" max="17" width="3.42578125" style="1" customWidth="1"/>
    <col min="18" max="18" width="19.140625" style="4" customWidth="1"/>
    <col min="19" max="23" width="19.140625" style="1" customWidth="1"/>
    <col min="24" max="24" width="14.7109375" style="1" customWidth="1"/>
    <col min="25" max="25" width="14.42578125" style="3" customWidth="1"/>
    <col min="26" max="28" width="11.5703125" style="1"/>
    <col min="29" max="29" width="4.5703125" style="1" customWidth="1"/>
    <col min="30" max="30" width="13" style="2" customWidth="1"/>
    <col min="31" max="31" width="23.140625" style="1" customWidth="1"/>
    <col min="32" max="32" width="18.140625" style="1" customWidth="1"/>
    <col min="33" max="34" width="17.5703125" style="1" customWidth="1"/>
    <col min="35" max="36" width="14.7109375" style="1" customWidth="1"/>
    <col min="37" max="37" width="15.140625" style="1" customWidth="1"/>
    <col min="38" max="38" width="11.42578125" style="1" customWidth="1"/>
    <col min="39" max="16384" width="11.5703125" style="1"/>
  </cols>
  <sheetData>
    <row r="1" spans="1:30" ht="49.5" customHeight="1" thickBot="1">
      <c r="I1" s="409" t="s">
        <v>0</v>
      </c>
      <c r="J1" s="410"/>
      <c r="K1" s="403" t="s">
        <v>82</v>
      </c>
      <c r="L1" s="403"/>
      <c r="M1" s="403"/>
      <c r="N1" s="403"/>
      <c r="O1" s="403"/>
      <c r="P1" s="403"/>
      <c r="Q1" s="75"/>
      <c r="R1" s="376" t="s">
        <v>83</v>
      </c>
      <c r="S1" s="377"/>
      <c r="T1" s="377"/>
      <c r="U1" s="377"/>
      <c r="V1" s="377"/>
      <c r="W1" s="378"/>
    </row>
    <row r="2" spans="1:30" ht="39" customHeight="1">
      <c r="D2" s="380" t="s">
        <v>84</v>
      </c>
      <c r="E2" s="381"/>
      <c r="F2" s="381"/>
      <c r="G2" s="382"/>
      <c r="I2" s="96"/>
      <c r="J2" s="394" t="s">
        <v>85</v>
      </c>
      <c r="K2" s="395"/>
      <c r="L2" s="395"/>
      <c r="M2" s="395"/>
      <c r="N2" s="395"/>
      <c r="O2" s="396"/>
      <c r="Q2" s="76"/>
      <c r="R2" s="411" t="s">
        <v>86</v>
      </c>
      <c r="S2" s="412"/>
      <c r="T2" s="412"/>
      <c r="U2" s="412"/>
      <c r="V2" s="412"/>
      <c r="W2" s="413"/>
    </row>
    <row r="3" spans="1:30" ht="68.099999999999994" customHeight="1">
      <c r="D3" s="383">
        <f>'DEMANDE DE PRÊT'!D7</f>
        <v>0</v>
      </c>
      <c r="E3" s="384"/>
      <c r="F3" s="384"/>
      <c r="G3" s="385"/>
      <c r="I3" s="97"/>
      <c r="J3" s="397" t="s">
        <v>87</v>
      </c>
      <c r="K3" s="398"/>
      <c r="L3" s="417" t="s">
        <v>88</v>
      </c>
      <c r="M3" s="418"/>
      <c r="N3" s="404" t="s">
        <v>89</v>
      </c>
      <c r="O3" s="405"/>
      <c r="Q3" s="77"/>
      <c r="R3" s="411"/>
      <c r="S3" s="412"/>
      <c r="T3" s="412"/>
      <c r="U3" s="412"/>
      <c r="V3" s="412"/>
      <c r="W3" s="413"/>
      <c r="Y3" s="1"/>
      <c r="AD3" s="1"/>
    </row>
    <row r="4" spans="1:30" ht="15" customHeight="1">
      <c r="R4" s="411"/>
      <c r="S4" s="412"/>
      <c r="T4" s="412"/>
      <c r="U4" s="412"/>
      <c r="V4" s="412"/>
      <c r="W4" s="413"/>
    </row>
    <row r="5" spans="1:30" ht="28.15" customHeight="1">
      <c r="B5" s="373" t="s">
        <v>90</v>
      </c>
      <c r="C5" s="374"/>
      <c r="D5" s="374"/>
      <c r="E5" s="374"/>
      <c r="F5" s="374"/>
      <c r="G5" s="374"/>
      <c r="H5" s="374"/>
      <c r="I5" s="374"/>
      <c r="J5" s="374"/>
      <c r="K5" s="374"/>
      <c r="L5" s="374"/>
      <c r="M5" s="374"/>
      <c r="N5" s="374"/>
      <c r="O5" s="374"/>
      <c r="P5" s="375"/>
      <c r="Q5" s="78"/>
      <c r="R5" s="411"/>
      <c r="S5" s="412"/>
      <c r="T5" s="412"/>
      <c r="U5" s="412"/>
      <c r="V5" s="412"/>
      <c r="W5" s="413"/>
    </row>
    <row r="6" spans="1:30" s="3" customFormat="1" ht="67.900000000000006" customHeight="1">
      <c r="A6" s="98"/>
      <c r="B6" s="371" t="s">
        <v>91</v>
      </c>
      <c r="C6" s="254"/>
      <c r="D6" s="402" t="s">
        <v>92</v>
      </c>
      <c r="E6" s="386" t="s">
        <v>93</v>
      </c>
      <c r="F6" s="386" t="s">
        <v>94</v>
      </c>
      <c r="G6" s="399" t="s">
        <v>95</v>
      </c>
      <c r="H6" s="386" t="s">
        <v>96</v>
      </c>
      <c r="I6" s="386" t="s">
        <v>97</v>
      </c>
      <c r="J6" s="386" t="s">
        <v>98</v>
      </c>
      <c r="K6" s="371" t="s">
        <v>99</v>
      </c>
      <c r="L6" s="399" t="s">
        <v>100</v>
      </c>
      <c r="M6" s="392" t="s">
        <v>101</v>
      </c>
      <c r="N6" s="393"/>
      <c r="O6" s="391"/>
      <c r="P6" s="390" t="s">
        <v>102</v>
      </c>
      <c r="Q6" s="79"/>
      <c r="R6" s="411"/>
      <c r="S6" s="412"/>
      <c r="T6" s="412"/>
      <c r="U6" s="412"/>
      <c r="V6" s="412"/>
      <c r="W6" s="413"/>
    </row>
    <row r="7" spans="1:30" s="67" customFormat="1" ht="119.1" customHeight="1" thickBot="1">
      <c r="A7" s="99"/>
      <c r="B7" s="372"/>
      <c r="C7" s="255" t="s">
        <v>103</v>
      </c>
      <c r="D7" s="402"/>
      <c r="E7" s="387"/>
      <c r="F7" s="387"/>
      <c r="G7" s="400"/>
      <c r="H7" s="387"/>
      <c r="I7" s="387"/>
      <c r="J7" s="419"/>
      <c r="K7" s="401"/>
      <c r="L7" s="400"/>
      <c r="M7" s="116" t="s">
        <v>104</v>
      </c>
      <c r="N7" s="390" t="s">
        <v>105</v>
      </c>
      <c r="O7" s="388" t="s">
        <v>106</v>
      </c>
      <c r="P7" s="390"/>
      <c r="Q7" s="79"/>
      <c r="R7" s="414"/>
      <c r="S7" s="415"/>
      <c r="T7" s="415"/>
      <c r="U7" s="415"/>
      <c r="V7" s="415"/>
      <c r="W7" s="416"/>
    </row>
    <row r="8" spans="1:30" ht="113.1" customHeight="1" thickBot="1">
      <c r="B8" s="372"/>
      <c r="C8" s="255"/>
      <c r="D8" s="371"/>
      <c r="E8" s="114" t="s">
        <v>107</v>
      </c>
      <c r="F8" s="114" t="s">
        <v>108</v>
      </c>
      <c r="G8" s="113" t="s">
        <v>109</v>
      </c>
      <c r="H8" s="114" t="s">
        <v>110</v>
      </c>
      <c r="I8" s="114" t="s">
        <v>111</v>
      </c>
      <c r="J8" s="420"/>
      <c r="K8" s="115" t="s">
        <v>112</v>
      </c>
      <c r="L8" s="114" t="s">
        <v>113</v>
      </c>
      <c r="M8" s="117" t="s">
        <v>114</v>
      </c>
      <c r="N8" s="391"/>
      <c r="O8" s="389"/>
      <c r="P8" s="388"/>
      <c r="Q8" s="79"/>
    </row>
    <row r="9" spans="1:30" s="36" customFormat="1" ht="32.25" customHeight="1">
      <c r="A9" s="100">
        <v>1</v>
      </c>
      <c r="B9" s="238">
        <v>100</v>
      </c>
      <c r="C9" s="256"/>
      <c r="D9" s="66" t="s">
        <v>115</v>
      </c>
      <c r="E9" s="64">
        <v>10000</v>
      </c>
      <c r="F9" s="65"/>
      <c r="G9" s="111">
        <f t="shared" ref="G9:G72" si="0">E9+F9</f>
        <v>10000</v>
      </c>
      <c r="H9" s="61">
        <v>2000</v>
      </c>
      <c r="I9" s="64"/>
      <c r="J9" s="63" t="s">
        <v>116</v>
      </c>
      <c r="K9" s="62"/>
      <c r="L9" s="112">
        <f t="shared" ref="L9:L72" si="1">G9-H9-I9-K9</f>
        <v>8000</v>
      </c>
      <c r="M9" s="132">
        <v>8000</v>
      </c>
      <c r="N9" s="60"/>
      <c r="O9" s="133"/>
      <c r="P9" s="59" t="s">
        <v>78</v>
      </c>
    </row>
    <row r="10" spans="1:30" s="36" customFormat="1" ht="32.25" customHeight="1">
      <c r="A10" s="100">
        <v>2</v>
      </c>
      <c r="B10" s="239">
        <v>101</v>
      </c>
      <c r="C10" s="257"/>
      <c r="D10" s="57" t="s">
        <v>117</v>
      </c>
      <c r="E10" s="49">
        <v>10000</v>
      </c>
      <c r="F10" s="51"/>
      <c r="G10" s="112">
        <f t="shared" si="0"/>
        <v>10000</v>
      </c>
      <c r="H10" s="50">
        <v>2000</v>
      </c>
      <c r="I10" s="49"/>
      <c r="J10" s="48"/>
      <c r="K10" s="47"/>
      <c r="L10" s="112">
        <f t="shared" si="1"/>
        <v>8000</v>
      </c>
      <c r="M10" s="134"/>
      <c r="N10" s="46">
        <v>8000</v>
      </c>
      <c r="O10" s="131"/>
      <c r="P10" s="45" t="s">
        <v>78</v>
      </c>
      <c r="Q10" s="80"/>
    </row>
    <row r="11" spans="1:30" s="36" customFormat="1" ht="32.25" customHeight="1">
      <c r="A11" s="100">
        <v>3</v>
      </c>
      <c r="B11" s="239">
        <v>102</v>
      </c>
      <c r="C11" s="257"/>
      <c r="D11" s="57" t="s">
        <v>118</v>
      </c>
      <c r="E11" s="49">
        <v>10000</v>
      </c>
      <c r="F11" s="51"/>
      <c r="G11" s="112">
        <f t="shared" si="0"/>
        <v>10000</v>
      </c>
      <c r="H11" s="50">
        <v>2000</v>
      </c>
      <c r="I11" s="49"/>
      <c r="J11" s="48"/>
      <c r="K11" s="47"/>
      <c r="L11" s="112">
        <f t="shared" si="1"/>
        <v>8000</v>
      </c>
      <c r="M11" s="134"/>
      <c r="N11" s="46"/>
      <c r="O11" s="131"/>
      <c r="P11" s="45" t="s">
        <v>116</v>
      </c>
      <c r="Q11" s="80"/>
    </row>
    <row r="12" spans="1:30" s="36" customFormat="1" ht="32.25" customHeight="1">
      <c r="A12" s="100">
        <v>4</v>
      </c>
      <c r="B12" s="239"/>
      <c r="C12" s="257"/>
      <c r="D12" s="57"/>
      <c r="E12" s="49"/>
      <c r="F12" s="51"/>
      <c r="G12" s="112">
        <f t="shared" si="0"/>
        <v>0</v>
      </c>
      <c r="H12" s="50"/>
      <c r="I12" s="49"/>
      <c r="J12" s="48"/>
      <c r="K12" s="47"/>
      <c r="L12" s="112">
        <f t="shared" si="1"/>
        <v>0</v>
      </c>
      <c r="M12" s="134"/>
      <c r="N12" s="46"/>
      <c r="O12" s="131"/>
      <c r="P12" s="45"/>
      <c r="Q12" s="80"/>
    </row>
    <row r="13" spans="1:30" s="36" customFormat="1" ht="32.25" customHeight="1">
      <c r="A13" s="100">
        <v>5</v>
      </c>
      <c r="B13" s="239"/>
      <c r="C13" s="257"/>
      <c r="D13" s="57"/>
      <c r="E13" s="49"/>
      <c r="F13" s="51"/>
      <c r="G13" s="112">
        <f t="shared" si="0"/>
        <v>0</v>
      </c>
      <c r="H13" s="50"/>
      <c r="I13" s="49"/>
      <c r="J13" s="48"/>
      <c r="K13" s="47"/>
      <c r="L13" s="112">
        <f t="shared" si="1"/>
        <v>0</v>
      </c>
      <c r="M13" s="134"/>
      <c r="N13" s="46"/>
      <c r="O13" s="131"/>
      <c r="P13" s="45"/>
      <c r="Q13" s="80"/>
    </row>
    <row r="14" spans="1:30" s="36" customFormat="1" ht="32.25" customHeight="1">
      <c r="A14" s="100">
        <v>6</v>
      </c>
      <c r="B14" s="239"/>
      <c r="C14" s="257"/>
      <c r="D14" s="57"/>
      <c r="E14" s="49"/>
      <c r="F14" s="51"/>
      <c r="G14" s="112">
        <f t="shared" si="0"/>
        <v>0</v>
      </c>
      <c r="H14" s="50"/>
      <c r="I14" s="49"/>
      <c r="J14" s="48"/>
      <c r="K14" s="47"/>
      <c r="L14" s="112">
        <f t="shared" si="1"/>
        <v>0</v>
      </c>
      <c r="M14" s="134"/>
      <c r="N14" s="46"/>
      <c r="O14" s="131"/>
      <c r="P14" s="45"/>
      <c r="Q14" s="80"/>
    </row>
    <row r="15" spans="1:30" s="36" customFormat="1" ht="32.25" customHeight="1">
      <c r="A15" s="100">
        <v>7</v>
      </c>
      <c r="B15" s="239"/>
      <c r="C15" s="257"/>
      <c r="D15" s="52"/>
      <c r="E15" s="49"/>
      <c r="F15" s="51"/>
      <c r="G15" s="112">
        <f t="shared" si="0"/>
        <v>0</v>
      </c>
      <c r="H15" s="50"/>
      <c r="I15" s="49"/>
      <c r="J15" s="48"/>
      <c r="K15" s="47"/>
      <c r="L15" s="112">
        <f t="shared" si="1"/>
        <v>0</v>
      </c>
      <c r="M15" s="134"/>
      <c r="N15" s="46"/>
      <c r="O15" s="131"/>
      <c r="P15" s="45"/>
      <c r="Q15" s="80"/>
    </row>
    <row r="16" spans="1:30" s="36" customFormat="1" ht="32.25" customHeight="1">
      <c r="A16" s="100">
        <v>8</v>
      </c>
      <c r="B16" s="239"/>
      <c r="C16" s="257"/>
      <c r="D16" s="52"/>
      <c r="E16" s="49"/>
      <c r="F16" s="51"/>
      <c r="G16" s="112">
        <f t="shared" si="0"/>
        <v>0</v>
      </c>
      <c r="H16" s="50"/>
      <c r="I16" s="49"/>
      <c r="J16" s="48"/>
      <c r="K16" s="47"/>
      <c r="L16" s="112">
        <f t="shared" si="1"/>
        <v>0</v>
      </c>
      <c r="M16" s="134"/>
      <c r="N16" s="46"/>
      <c r="O16" s="131"/>
      <c r="P16" s="45"/>
      <c r="Q16" s="80"/>
    </row>
    <row r="17" spans="1:17" s="36" customFormat="1" ht="32.25" customHeight="1">
      <c r="A17" s="100">
        <v>9</v>
      </c>
      <c r="B17" s="239"/>
      <c r="C17" s="257"/>
      <c r="D17" s="52"/>
      <c r="E17" s="49"/>
      <c r="F17" s="51"/>
      <c r="G17" s="112">
        <f t="shared" si="0"/>
        <v>0</v>
      </c>
      <c r="H17" s="50"/>
      <c r="I17" s="49"/>
      <c r="J17" s="48"/>
      <c r="K17" s="47"/>
      <c r="L17" s="112">
        <f t="shared" si="1"/>
        <v>0</v>
      </c>
      <c r="M17" s="134"/>
      <c r="N17" s="46"/>
      <c r="O17" s="131"/>
      <c r="P17" s="45"/>
      <c r="Q17" s="80"/>
    </row>
    <row r="18" spans="1:17" s="36" customFormat="1" ht="32.25" customHeight="1">
      <c r="A18" s="100">
        <v>10</v>
      </c>
      <c r="B18" s="239"/>
      <c r="C18" s="257"/>
      <c r="D18" s="52"/>
      <c r="E18" s="49"/>
      <c r="F18" s="51"/>
      <c r="G18" s="112">
        <f t="shared" si="0"/>
        <v>0</v>
      </c>
      <c r="H18" s="50"/>
      <c r="I18" s="49"/>
      <c r="J18" s="48"/>
      <c r="K18" s="47"/>
      <c r="L18" s="112">
        <f t="shared" si="1"/>
        <v>0</v>
      </c>
      <c r="M18" s="134"/>
      <c r="N18" s="46"/>
      <c r="O18" s="131"/>
      <c r="P18" s="45"/>
      <c r="Q18" s="80"/>
    </row>
    <row r="19" spans="1:17" s="36" customFormat="1" ht="32.25" customHeight="1">
      <c r="A19" s="100">
        <v>11</v>
      </c>
      <c r="B19" s="239"/>
      <c r="C19" s="257"/>
      <c r="D19" s="52"/>
      <c r="E19" s="49"/>
      <c r="F19" s="51"/>
      <c r="G19" s="112">
        <f t="shared" si="0"/>
        <v>0</v>
      </c>
      <c r="H19" s="50"/>
      <c r="I19" s="49"/>
      <c r="J19" s="48"/>
      <c r="K19" s="47"/>
      <c r="L19" s="112">
        <f t="shared" si="1"/>
        <v>0</v>
      </c>
      <c r="M19" s="134"/>
      <c r="N19" s="46"/>
      <c r="O19" s="131"/>
      <c r="P19" s="45"/>
      <c r="Q19" s="80"/>
    </row>
    <row r="20" spans="1:17" s="36" customFormat="1" ht="32.25" customHeight="1">
      <c r="A20" s="100">
        <v>12</v>
      </c>
      <c r="B20" s="239"/>
      <c r="C20" s="257"/>
      <c r="D20" s="52"/>
      <c r="E20" s="49"/>
      <c r="F20" s="51"/>
      <c r="G20" s="112">
        <f t="shared" si="0"/>
        <v>0</v>
      </c>
      <c r="H20" s="50"/>
      <c r="I20" s="49"/>
      <c r="J20" s="48"/>
      <c r="K20" s="47"/>
      <c r="L20" s="112">
        <f t="shared" si="1"/>
        <v>0</v>
      </c>
      <c r="M20" s="134"/>
      <c r="N20" s="46"/>
      <c r="O20" s="131"/>
      <c r="P20" s="45"/>
      <c r="Q20" s="80"/>
    </row>
    <row r="21" spans="1:17" s="36" customFormat="1" ht="32.25" customHeight="1">
      <c r="A21" s="100">
        <v>13</v>
      </c>
      <c r="B21" s="239"/>
      <c r="C21" s="257"/>
      <c r="D21" s="52"/>
      <c r="E21" s="49"/>
      <c r="F21" s="51"/>
      <c r="G21" s="112">
        <f t="shared" si="0"/>
        <v>0</v>
      </c>
      <c r="H21" s="50"/>
      <c r="I21" s="49"/>
      <c r="J21" s="48"/>
      <c r="K21" s="47"/>
      <c r="L21" s="112">
        <f t="shared" si="1"/>
        <v>0</v>
      </c>
      <c r="M21" s="134"/>
      <c r="N21" s="46"/>
      <c r="O21" s="131"/>
      <c r="P21" s="45"/>
      <c r="Q21" s="80"/>
    </row>
    <row r="22" spans="1:17" s="36" customFormat="1" ht="32.25" customHeight="1">
      <c r="A22" s="100">
        <v>14</v>
      </c>
      <c r="B22" s="239"/>
      <c r="C22" s="257"/>
      <c r="D22" s="52"/>
      <c r="E22" s="49"/>
      <c r="F22" s="51"/>
      <c r="G22" s="112">
        <f t="shared" si="0"/>
        <v>0</v>
      </c>
      <c r="H22" s="50"/>
      <c r="I22" s="49"/>
      <c r="J22" s="48"/>
      <c r="K22" s="47"/>
      <c r="L22" s="112">
        <f t="shared" si="1"/>
        <v>0</v>
      </c>
      <c r="M22" s="134"/>
      <c r="N22" s="46"/>
      <c r="O22" s="131"/>
      <c r="P22" s="45"/>
      <c r="Q22" s="80"/>
    </row>
    <row r="23" spans="1:17" s="36" customFormat="1" ht="32.25" customHeight="1">
      <c r="A23" s="100">
        <v>15</v>
      </c>
      <c r="B23" s="239"/>
      <c r="C23" s="257"/>
      <c r="D23" s="52"/>
      <c r="E23" s="49"/>
      <c r="F23" s="51"/>
      <c r="G23" s="112">
        <f t="shared" si="0"/>
        <v>0</v>
      </c>
      <c r="H23" s="50"/>
      <c r="I23" s="49"/>
      <c r="J23" s="48"/>
      <c r="K23" s="47"/>
      <c r="L23" s="112">
        <f t="shared" si="1"/>
        <v>0</v>
      </c>
      <c r="M23" s="134"/>
      <c r="N23" s="46"/>
      <c r="O23" s="131"/>
      <c r="P23" s="45"/>
      <c r="Q23" s="80"/>
    </row>
    <row r="24" spans="1:17" s="36" customFormat="1" ht="32.25" customHeight="1">
      <c r="A24" s="100">
        <v>16</v>
      </c>
      <c r="B24" s="239"/>
      <c r="C24" s="257"/>
      <c r="D24" s="52"/>
      <c r="E24" s="49"/>
      <c r="F24" s="51"/>
      <c r="G24" s="112">
        <f t="shared" si="0"/>
        <v>0</v>
      </c>
      <c r="H24" s="50"/>
      <c r="I24" s="49"/>
      <c r="J24" s="48"/>
      <c r="K24" s="47"/>
      <c r="L24" s="112">
        <f t="shared" si="1"/>
        <v>0</v>
      </c>
      <c r="M24" s="134"/>
      <c r="N24" s="46"/>
      <c r="O24" s="131"/>
      <c r="P24" s="45"/>
      <c r="Q24" s="80"/>
    </row>
    <row r="25" spans="1:17" s="36" customFormat="1" ht="32.25" customHeight="1">
      <c r="A25" s="100">
        <v>17</v>
      </c>
      <c r="B25" s="239"/>
      <c r="C25" s="257"/>
      <c r="D25" s="52"/>
      <c r="E25" s="49"/>
      <c r="F25" s="51"/>
      <c r="G25" s="112">
        <f t="shared" si="0"/>
        <v>0</v>
      </c>
      <c r="H25" s="50"/>
      <c r="I25" s="49"/>
      <c r="J25" s="48"/>
      <c r="K25" s="47"/>
      <c r="L25" s="112">
        <f t="shared" si="1"/>
        <v>0</v>
      </c>
      <c r="M25" s="134"/>
      <c r="N25" s="46"/>
      <c r="O25" s="131"/>
      <c r="P25" s="45"/>
      <c r="Q25" s="80"/>
    </row>
    <row r="26" spans="1:17" s="36" customFormat="1" ht="32.25" customHeight="1">
      <c r="A26" s="100">
        <v>18</v>
      </c>
      <c r="B26" s="239"/>
      <c r="C26" s="257"/>
      <c r="D26" s="52"/>
      <c r="E26" s="49"/>
      <c r="F26" s="51"/>
      <c r="G26" s="112">
        <f t="shared" si="0"/>
        <v>0</v>
      </c>
      <c r="H26" s="50"/>
      <c r="I26" s="49"/>
      <c r="J26" s="48"/>
      <c r="K26" s="47"/>
      <c r="L26" s="112">
        <f t="shared" si="1"/>
        <v>0</v>
      </c>
      <c r="M26" s="134"/>
      <c r="N26" s="46"/>
      <c r="O26" s="131"/>
      <c r="P26" s="45"/>
      <c r="Q26" s="80"/>
    </row>
    <row r="27" spans="1:17" s="36" customFormat="1" ht="32.25" customHeight="1">
      <c r="A27" s="100">
        <v>19</v>
      </c>
      <c r="B27" s="239"/>
      <c r="C27" s="257"/>
      <c r="D27" s="52"/>
      <c r="E27" s="49"/>
      <c r="F27" s="51"/>
      <c r="G27" s="112">
        <f t="shared" si="0"/>
        <v>0</v>
      </c>
      <c r="H27" s="50"/>
      <c r="I27" s="49"/>
      <c r="J27" s="48"/>
      <c r="K27" s="47"/>
      <c r="L27" s="112">
        <f t="shared" si="1"/>
        <v>0</v>
      </c>
      <c r="M27" s="134"/>
      <c r="N27" s="46"/>
      <c r="O27" s="131"/>
      <c r="P27" s="45"/>
      <c r="Q27" s="80"/>
    </row>
    <row r="28" spans="1:17" s="36" customFormat="1" ht="32.25" customHeight="1">
      <c r="A28" s="100">
        <v>20</v>
      </c>
      <c r="B28" s="239"/>
      <c r="C28" s="257"/>
      <c r="D28" s="52"/>
      <c r="E28" s="49"/>
      <c r="F28" s="51"/>
      <c r="G28" s="112">
        <f t="shared" si="0"/>
        <v>0</v>
      </c>
      <c r="H28" s="50"/>
      <c r="I28" s="49"/>
      <c r="J28" s="48"/>
      <c r="K28" s="47"/>
      <c r="L28" s="112">
        <f t="shared" si="1"/>
        <v>0</v>
      </c>
      <c r="M28" s="134"/>
      <c r="N28" s="46"/>
      <c r="O28" s="131"/>
      <c r="P28" s="45"/>
      <c r="Q28" s="80"/>
    </row>
    <row r="29" spans="1:17" s="36" customFormat="1" ht="32.25" customHeight="1">
      <c r="A29" s="100">
        <v>21</v>
      </c>
      <c r="B29" s="239"/>
      <c r="C29" s="257"/>
      <c r="D29" s="52"/>
      <c r="E29" s="49"/>
      <c r="F29" s="51"/>
      <c r="G29" s="112">
        <f t="shared" si="0"/>
        <v>0</v>
      </c>
      <c r="H29" s="50"/>
      <c r="I29" s="49"/>
      <c r="J29" s="48"/>
      <c r="K29" s="47"/>
      <c r="L29" s="112">
        <f t="shared" si="1"/>
        <v>0</v>
      </c>
      <c r="M29" s="134"/>
      <c r="N29" s="46"/>
      <c r="O29" s="131"/>
      <c r="P29" s="45"/>
      <c r="Q29" s="80"/>
    </row>
    <row r="30" spans="1:17" s="36" customFormat="1" ht="32.25" customHeight="1">
      <c r="A30" s="100">
        <v>22</v>
      </c>
      <c r="B30" s="239"/>
      <c r="C30" s="257"/>
      <c r="D30" s="52"/>
      <c r="E30" s="49"/>
      <c r="F30" s="51"/>
      <c r="G30" s="112">
        <f t="shared" si="0"/>
        <v>0</v>
      </c>
      <c r="H30" s="50"/>
      <c r="I30" s="49"/>
      <c r="J30" s="48"/>
      <c r="K30" s="47"/>
      <c r="L30" s="112">
        <f t="shared" si="1"/>
        <v>0</v>
      </c>
      <c r="M30" s="134"/>
      <c r="N30" s="46"/>
      <c r="O30" s="131"/>
      <c r="P30" s="45"/>
      <c r="Q30" s="80"/>
    </row>
    <row r="31" spans="1:17" s="36" customFormat="1" ht="32.25" customHeight="1">
      <c r="A31" s="100">
        <v>23</v>
      </c>
      <c r="B31" s="239"/>
      <c r="C31" s="257"/>
      <c r="D31" s="52"/>
      <c r="E31" s="49"/>
      <c r="F31" s="51"/>
      <c r="G31" s="112">
        <f t="shared" si="0"/>
        <v>0</v>
      </c>
      <c r="H31" s="50"/>
      <c r="I31" s="49"/>
      <c r="J31" s="48"/>
      <c r="K31" s="47"/>
      <c r="L31" s="112">
        <f t="shared" si="1"/>
        <v>0</v>
      </c>
      <c r="M31" s="134"/>
      <c r="N31" s="46"/>
      <c r="O31" s="131"/>
      <c r="P31" s="45"/>
      <c r="Q31" s="80"/>
    </row>
    <row r="32" spans="1:17" s="36" customFormat="1" ht="32.25" customHeight="1">
      <c r="A32" s="100">
        <v>24</v>
      </c>
      <c r="B32" s="239"/>
      <c r="C32" s="257"/>
      <c r="D32" s="52"/>
      <c r="E32" s="49"/>
      <c r="F32" s="51"/>
      <c r="G32" s="112">
        <f t="shared" si="0"/>
        <v>0</v>
      </c>
      <c r="H32" s="50"/>
      <c r="I32" s="49"/>
      <c r="J32" s="48"/>
      <c r="K32" s="47"/>
      <c r="L32" s="112">
        <f t="shared" si="1"/>
        <v>0</v>
      </c>
      <c r="M32" s="134"/>
      <c r="N32" s="46"/>
      <c r="O32" s="131"/>
      <c r="P32" s="45"/>
      <c r="Q32" s="80"/>
    </row>
    <row r="33" spans="1:17" s="36" customFormat="1" ht="32.25" customHeight="1">
      <c r="A33" s="100">
        <v>25</v>
      </c>
      <c r="B33" s="239"/>
      <c r="C33" s="257"/>
      <c r="D33" s="52"/>
      <c r="E33" s="49"/>
      <c r="F33" s="51"/>
      <c r="G33" s="112">
        <f t="shared" si="0"/>
        <v>0</v>
      </c>
      <c r="H33" s="50"/>
      <c r="I33" s="49"/>
      <c r="J33" s="48"/>
      <c r="K33" s="47"/>
      <c r="L33" s="112">
        <f t="shared" si="1"/>
        <v>0</v>
      </c>
      <c r="M33" s="134"/>
      <c r="N33" s="46"/>
      <c r="O33" s="131"/>
      <c r="P33" s="45"/>
      <c r="Q33" s="80"/>
    </row>
    <row r="34" spans="1:17" s="36" customFormat="1" ht="32.25" customHeight="1">
      <c r="A34" s="100">
        <v>26</v>
      </c>
      <c r="B34" s="239"/>
      <c r="C34" s="257"/>
      <c r="D34" s="52"/>
      <c r="E34" s="49"/>
      <c r="F34" s="51"/>
      <c r="G34" s="112">
        <f t="shared" si="0"/>
        <v>0</v>
      </c>
      <c r="H34" s="50"/>
      <c r="I34" s="49"/>
      <c r="J34" s="48"/>
      <c r="K34" s="47"/>
      <c r="L34" s="112">
        <f t="shared" si="1"/>
        <v>0</v>
      </c>
      <c r="M34" s="134"/>
      <c r="N34" s="46"/>
      <c r="O34" s="131"/>
      <c r="P34" s="45"/>
      <c r="Q34" s="80"/>
    </row>
    <row r="35" spans="1:17" s="36" customFormat="1" ht="32.25" customHeight="1">
      <c r="A35" s="100">
        <v>27</v>
      </c>
      <c r="B35" s="239"/>
      <c r="C35" s="257"/>
      <c r="D35" s="52"/>
      <c r="E35" s="49"/>
      <c r="F35" s="51"/>
      <c r="G35" s="112">
        <f t="shared" si="0"/>
        <v>0</v>
      </c>
      <c r="H35" s="50"/>
      <c r="I35" s="49"/>
      <c r="J35" s="48"/>
      <c r="K35" s="47"/>
      <c r="L35" s="112">
        <f t="shared" si="1"/>
        <v>0</v>
      </c>
      <c r="M35" s="134"/>
      <c r="N35" s="46"/>
      <c r="O35" s="131"/>
      <c r="P35" s="45"/>
      <c r="Q35" s="80"/>
    </row>
    <row r="36" spans="1:17" s="36" customFormat="1" ht="32.25" customHeight="1">
      <c r="A36" s="100">
        <v>28</v>
      </c>
      <c r="B36" s="239"/>
      <c r="C36" s="257"/>
      <c r="D36" s="52"/>
      <c r="E36" s="49"/>
      <c r="F36" s="51"/>
      <c r="G36" s="112">
        <f t="shared" si="0"/>
        <v>0</v>
      </c>
      <c r="H36" s="50"/>
      <c r="I36" s="49"/>
      <c r="J36" s="48"/>
      <c r="K36" s="47"/>
      <c r="L36" s="112">
        <f t="shared" si="1"/>
        <v>0</v>
      </c>
      <c r="M36" s="134"/>
      <c r="N36" s="46"/>
      <c r="O36" s="131"/>
      <c r="P36" s="45"/>
      <c r="Q36" s="80"/>
    </row>
    <row r="37" spans="1:17" s="36" customFormat="1" ht="32.25" customHeight="1">
      <c r="A37" s="100">
        <v>29</v>
      </c>
      <c r="B37" s="239"/>
      <c r="C37" s="257"/>
      <c r="D37" s="52"/>
      <c r="E37" s="49"/>
      <c r="F37" s="51"/>
      <c r="G37" s="112">
        <f t="shared" si="0"/>
        <v>0</v>
      </c>
      <c r="H37" s="50"/>
      <c r="I37" s="49"/>
      <c r="J37" s="48"/>
      <c r="K37" s="47"/>
      <c r="L37" s="112">
        <f t="shared" si="1"/>
        <v>0</v>
      </c>
      <c r="M37" s="134"/>
      <c r="N37" s="46"/>
      <c r="O37" s="131"/>
      <c r="P37" s="45"/>
      <c r="Q37" s="80"/>
    </row>
    <row r="38" spans="1:17" s="36" customFormat="1" ht="32.25" customHeight="1">
      <c r="A38" s="100">
        <v>30</v>
      </c>
      <c r="B38" s="239"/>
      <c r="C38" s="257"/>
      <c r="D38" s="52"/>
      <c r="E38" s="49"/>
      <c r="F38" s="51"/>
      <c r="G38" s="112">
        <f t="shared" si="0"/>
        <v>0</v>
      </c>
      <c r="H38" s="50"/>
      <c r="I38" s="49"/>
      <c r="J38" s="48"/>
      <c r="K38" s="47"/>
      <c r="L38" s="112">
        <f t="shared" si="1"/>
        <v>0</v>
      </c>
      <c r="M38" s="134"/>
      <c r="N38" s="46"/>
      <c r="O38" s="131"/>
      <c r="P38" s="45"/>
      <c r="Q38" s="80"/>
    </row>
    <row r="39" spans="1:17" s="36" customFormat="1" ht="32.25" customHeight="1">
      <c r="A39" s="100">
        <v>31</v>
      </c>
      <c r="B39" s="239"/>
      <c r="C39" s="257"/>
      <c r="D39" s="52"/>
      <c r="E39" s="49"/>
      <c r="F39" s="51"/>
      <c r="G39" s="112">
        <f t="shared" si="0"/>
        <v>0</v>
      </c>
      <c r="H39" s="50"/>
      <c r="I39" s="49"/>
      <c r="J39" s="48"/>
      <c r="K39" s="47"/>
      <c r="L39" s="112">
        <f t="shared" si="1"/>
        <v>0</v>
      </c>
      <c r="M39" s="134"/>
      <c r="N39" s="46"/>
      <c r="O39" s="131"/>
      <c r="P39" s="45"/>
      <c r="Q39" s="80"/>
    </row>
    <row r="40" spans="1:17" s="36" customFormat="1" ht="32.25" customHeight="1">
      <c r="A40" s="100">
        <v>32</v>
      </c>
      <c r="B40" s="239"/>
      <c r="C40" s="257"/>
      <c r="D40" s="52"/>
      <c r="E40" s="49"/>
      <c r="F40" s="51"/>
      <c r="G40" s="112">
        <f t="shared" si="0"/>
        <v>0</v>
      </c>
      <c r="H40" s="50"/>
      <c r="I40" s="49"/>
      <c r="J40" s="48"/>
      <c r="K40" s="47"/>
      <c r="L40" s="112">
        <f t="shared" si="1"/>
        <v>0</v>
      </c>
      <c r="M40" s="134"/>
      <c r="N40" s="46"/>
      <c r="O40" s="131"/>
      <c r="P40" s="45"/>
      <c r="Q40" s="80"/>
    </row>
    <row r="41" spans="1:17" s="36" customFormat="1" ht="32.25" customHeight="1">
      <c r="A41" s="100">
        <v>33</v>
      </c>
      <c r="B41" s="239"/>
      <c r="C41" s="257"/>
      <c r="D41" s="52"/>
      <c r="E41" s="49"/>
      <c r="F41" s="51"/>
      <c r="G41" s="112">
        <f t="shared" si="0"/>
        <v>0</v>
      </c>
      <c r="H41" s="50"/>
      <c r="I41" s="49"/>
      <c r="J41" s="48"/>
      <c r="K41" s="47"/>
      <c r="L41" s="112">
        <f t="shared" si="1"/>
        <v>0</v>
      </c>
      <c r="M41" s="134"/>
      <c r="N41" s="46"/>
      <c r="O41" s="131"/>
      <c r="P41" s="45"/>
      <c r="Q41" s="80"/>
    </row>
    <row r="42" spans="1:17" s="36" customFormat="1" ht="32.25" customHeight="1">
      <c r="A42" s="100">
        <v>34</v>
      </c>
      <c r="B42" s="239"/>
      <c r="C42" s="257"/>
      <c r="D42" s="52"/>
      <c r="E42" s="49"/>
      <c r="F42" s="51"/>
      <c r="G42" s="112">
        <f t="shared" si="0"/>
        <v>0</v>
      </c>
      <c r="H42" s="50"/>
      <c r="I42" s="49"/>
      <c r="J42" s="48"/>
      <c r="K42" s="47"/>
      <c r="L42" s="112">
        <f t="shared" si="1"/>
        <v>0</v>
      </c>
      <c r="M42" s="134"/>
      <c r="N42" s="46"/>
      <c r="O42" s="131"/>
      <c r="P42" s="45"/>
      <c r="Q42" s="80"/>
    </row>
    <row r="43" spans="1:17" s="36" customFormat="1" ht="32.25" customHeight="1">
      <c r="A43" s="100">
        <v>35</v>
      </c>
      <c r="B43" s="239"/>
      <c r="C43" s="257"/>
      <c r="D43" s="52"/>
      <c r="E43" s="49"/>
      <c r="F43" s="51"/>
      <c r="G43" s="112">
        <f t="shared" si="0"/>
        <v>0</v>
      </c>
      <c r="H43" s="50"/>
      <c r="I43" s="49"/>
      <c r="J43" s="48"/>
      <c r="K43" s="47"/>
      <c r="L43" s="112">
        <f t="shared" si="1"/>
        <v>0</v>
      </c>
      <c r="M43" s="134"/>
      <c r="N43" s="46"/>
      <c r="O43" s="131"/>
      <c r="P43" s="45"/>
      <c r="Q43" s="80"/>
    </row>
    <row r="44" spans="1:17" s="36" customFormat="1" ht="32.25" customHeight="1">
      <c r="A44" s="100">
        <v>36</v>
      </c>
      <c r="B44" s="239"/>
      <c r="C44" s="257"/>
      <c r="D44" s="52"/>
      <c r="E44" s="49"/>
      <c r="F44" s="51"/>
      <c r="G44" s="112">
        <f t="shared" si="0"/>
        <v>0</v>
      </c>
      <c r="H44" s="50"/>
      <c r="I44" s="49"/>
      <c r="J44" s="48"/>
      <c r="K44" s="47"/>
      <c r="L44" s="112">
        <f t="shared" si="1"/>
        <v>0</v>
      </c>
      <c r="M44" s="134"/>
      <c r="N44" s="46"/>
      <c r="O44" s="131"/>
      <c r="P44" s="45"/>
      <c r="Q44" s="80"/>
    </row>
    <row r="45" spans="1:17" s="36" customFormat="1" ht="32.25" customHeight="1">
      <c r="A45" s="100">
        <v>37</v>
      </c>
      <c r="B45" s="239"/>
      <c r="C45" s="257"/>
      <c r="D45" s="52"/>
      <c r="E45" s="49"/>
      <c r="F45" s="51"/>
      <c r="G45" s="112">
        <f t="shared" si="0"/>
        <v>0</v>
      </c>
      <c r="H45" s="50"/>
      <c r="I45" s="49"/>
      <c r="J45" s="48"/>
      <c r="K45" s="47"/>
      <c r="L45" s="112">
        <f t="shared" si="1"/>
        <v>0</v>
      </c>
      <c r="M45" s="134"/>
      <c r="N45" s="46"/>
      <c r="O45" s="131"/>
      <c r="P45" s="45"/>
      <c r="Q45" s="80"/>
    </row>
    <row r="46" spans="1:17" s="36" customFormat="1" ht="32.25" customHeight="1">
      <c r="A46" s="100">
        <v>38</v>
      </c>
      <c r="B46" s="239"/>
      <c r="C46" s="257"/>
      <c r="D46" s="52"/>
      <c r="E46" s="49"/>
      <c r="F46" s="51"/>
      <c r="G46" s="112">
        <f t="shared" si="0"/>
        <v>0</v>
      </c>
      <c r="H46" s="50"/>
      <c r="I46" s="49"/>
      <c r="J46" s="48"/>
      <c r="K46" s="47"/>
      <c r="L46" s="112">
        <f t="shared" si="1"/>
        <v>0</v>
      </c>
      <c r="M46" s="134"/>
      <c r="N46" s="46"/>
      <c r="O46" s="131"/>
      <c r="P46" s="45"/>
      <c r="Q46" s="80"/>
    </row>
    <row r="47" spans="1:17" s="36" customFormat="1" ht="32.25" customHeight="1">
      <c r="A47" s="100">
        <v>39</v>
      </c>
      <c r="B47" s="239"/>
      <c r="C47" s="257"/>
      <c r="D47" s="52"/>
      <c r="E47" s="49"/>
      <c r="F47" s="51"/>
      <c r="G47" s="112">
        <f t="shared" si="0"/>
        <v>0</v>
      </c>
      <c r="H47" s="50"/>
      <c r="I47" s="49"/>
      <c r="J47" s="48"/>
      <c r="K47" s="47"/>
      <c r="L47" s="112">
        <f t="shared" si="1"/>
        <v>0</v>
      </c>
      <c r="M47" s="134"/>
      <c r="N47" s="46"/>
      <c r="O47" s="131"/>
      <c r="P47" s="45"/>
      <c r="Q47" s="80"/>
    </row>
    <row r="48" spans="1:17" s="36" customFormat="1" ht="32.25" customHeight="1">
      <c r="A48" s="100">
        <v>40</v>
      </c>
      <c r="B48" s="239"/>
      <c r="C48" s="257"/>
      <c r="D48" s="52"/>
      <c r="E48" s="49"/>
      <c r="F48" s="51"/>
      <c r="G48" s="112">
        <f t="shared" si="0"/>
        <v>0</v>
      </c>
      <c r="H48" s="50"/>
      <c r="I48" s="49"/>
      <c r="J48" s="48"/>
      <c r="K48" s="47"/>
      <c r="L48" s="112">
        <f t="shared" si="1"/>
        <v>0</v>
      </c>
      <c r="M48" s="134"/>
      <c r="N48" s="46"/>
      <c r="O48" s="131"/>
      <c r="P48" s="45"/>
      <c r="Q48" s="80"/>
    </row>
    <row r="49" spans="1:17" s="36" customFormat="1" ht="32.25" customHeight="1">
      <c r="A49" s="100">
        <v>41</v>
      </c>
      <c r="B49" s="239"/>
      <c r="C49" s="257"/>
      <c r="D49" s="52"/>
      <c r="E49" s="49"/>
      <c r="F49" s="51"/>
      <c r="G49" s="112">
        <f t="shared" si="0"/>
        <v>0</v>
      </c>
      <c r="H49" s="50"/>
      <c r="I49" s="49"/>
      <c r="J49" s="48"/>
      <c r="K49" s="47"/>
      <c r="L49" s="112">
        <f t="shared" si="1"/>
        <v>0</v>
      </c>
      <c r="M49" s="134"/>
      <c r="N49" s="46"/>
      <c r="O49" s="131"/>
      <c r="P49" s="45"/>
      <c r="Q49" s="80"/>
    </row>
    <row r="50" spans="1:17" s="36" customFormat="1" ht="32.25" customHeight="1">
      <c r="A50" s="100">
        <v>42</v>
      </c>
      <c r="B50" s="239"/>
      <c r="C50" s="257"/>
      <c r="D50" s="52"/>
      <c r="E50" s="49"/>
      <c r="F50" s="51"/>
      <c r="G50" s="112">
        <f t="shared" si="0"/>
        <v>0</v>
      </c>
      <c r="H50" s="50"/>
      <c r="I50" s="49"/>
      <c r="J50" s="48"/>
      <c r="K50" s="47"/>
      <c r="L50" s="112">
        <f t="shared" si="1"/>
        <v>0</v>
      </c>
      <c r="M50" s="134"/>
      <c r="N50" s="46"/>
      <c r="O50" s="131"/>
      <c r="P50" s="45"/>
      <c r="Q50" s="80"/>
    </row>
    <row r="51" spans="1:17" s="36" customFormat="1" ht="32.25" customHeight="1">
      <c r="A51" s="100">
        <v>43</v>
      </c>
      <c r="B51" s="239"/>
      <c r="C51" s="257"/>
      <c r="D51" s="52"/>
      <c r="E51" s="49"/>
      <c r="F51" s="51"/>
      <c r="G51" s="112">
        <f t="shared" si="0"/>
        <v>0</v>
      </c>
      <c r="H51" s="50"/>
      <c r="I51" s="49"/>
      <c r="J51" s="48"/>
      <c r="K51" s="47"/>
      <c r="L51" s="112">
        <f t="shared" si="1"/>
        <v>0</v>
      </c>
      <c r="M51" s="134"/>
      <c r="N51" s="46"/>
      <c r="O51" s="131"/>
      <c r="P51" s="45"/>
      <c r="Q51" s="80"/>
    </row>
    <row r="52" spans="1:17" s="36" customFormat="1" ht="32.25" customHeight="1">
      <c r="A52" s="100">
        <v>44</v>
      </c>
      <c r="B52" s="239"/>
      <c r="C52" s="257"/>
      <c r="D52" s="52"/>
      <c r="E52" s="49"/>
      <c r="F52" s="51"/>
      <c r="G52" s="112">
        <f t="shared" si="0"/>
        <v>0</v>
      </c>
      <c r="H52" s="50"/>
      <c r="I52" s="49"/>
      <c r="J52" s="48"/>
      <c r="K52" s="47"/>
      <c r="L52" s="112">
        <f t="shared" si="1"/>
        <v>0</v>
      </c>
      <c r="M52" s="134"/>
      <c r="N52" s="46"/>
      <c r="O52" s="131"/>
      <c r="P52" s="45"/>
      <c r="Q52" s="80"/>
    </row>
    <row r="53" spans="1:17" s="36" customFormat="1" ht="32.25" customHeight="1">
      <c r="A53" s="100">
        <v>45</v>
      </c>
      <c r="B53" s="239"/>
      <c r="C53" s="257"/>
      <c r="D53" s="52"/>
      <c r="E53" s="49"/>
      <c r="F53" s="51"/>
      <c r="G53" s="112">
        <f t="shared" si="0"/>
        <v>0</v>
      </c>
      <c r="H53" s="50"/>
      <c r="I53" s="49"/>
      <c r="J53" s="48"/>
      <c r="K53" s="47"/>
      <c r="L53" s="112">
        <f t="shared" si="1"/>
        <v>0</v>
      </c>
      <c r="M53" s="134"/>
      <c r="N53" s="46"/>
      <c r="O53" s="131"/>
      <c r="P53" s="45"/>
      <c r="Q53" s="80"/>
    </row>
    <row r="54" spans="1:17" s="36" customFormat="1" ht="32.25" customHeight="1">
      <c r="A54" s="100">
        <v>46</v>
      </c>
      <c r="B54" s="239"/>
      <c r="C54" s="257"/>
      <c r="D54" s="52"/>
      <c r="E54" s="49"/>
      <c r="F54" s="51"/>
      <c r="G54" s="112">
        <f t="shared" si="0"/>
        <v>0</v>
      </c>
      <c r="H54" s="50"/>
      <c r="I54" s="49"/>
      <c r="J54" s="48"/>
      <c r="K54" s="47"/>
      <c r="L54" s="112">
        <f t="shared" si="1"/>
        <v>0</v>
      </c>
      <c r="M54" s="134"/>
      <c r="N54" s="46"/>
      <c r="O54" s="131"/>
      <c r="P54" s="45"/>
      <c r="Q54" s="80"/>
    </row>
    <row r="55" spans="1:17" s="36" customFormat="1" ht="32.25" customHeight="1">
      <c r="A55" s="100">
        <v>47</v>
      </c>
      <c r="B55" s="239"/>
      <c r="C55" s="257"/>
      <c r="D55" s="52"/>
      <c r="E55" s="49"/>
      <c r="F55" s="51"/>
      <c r="G55" s="112">
        <f t="shared" si="0"/>
        <v>0</v>
      </c>
      <c r="H55" s="50"/>
      <c r="I55" s="49"/>
      <c r="J55" s="48"/>
      <c r="K55" s="47"/>
      <c r="L55" s="112">
        <f t="shared" si="1"/>
        <v>0</v>
      </c>
      <c r="M55" s="134"/>
      <c r="N55" s="46"/>
      <c r="O55" s="131"/>
      <c r="P55" s="45"/>
      <c r="Q55" s="80"/>
    </row>
    <row r="56" spans="1:17" s="36" customFormat="1" ht="32.25" customHeight="1">
      <c r="A56" s="100">
        <v>48</v>
      </c>
      <c r="B56" s="239"/>
      <c r="C56" s="257"/>
      <c r="D56" s="52"/>
      <c r="E56" s="49"/>
      <c r="F56" s="51"/>
      <c r="G56" s="112">
        <f t="shared" si="0"/>
        <v>0</v>
      </c>
      <c r="H56" s="50"/>
      <c r="I56" s="49"/>
      <c r="J56" s="48"/>
      <c r="K56" s="47"/>
      <c r="L56" s="112">
        <f t="shared" si="1"/>
        <v>0</v>
      </c>
      <c r="M56" s="134"/>
      <c r="N56" s="46"/>
      <c r="O56" s="131"/>
      <c r="P56" s="45"/>
      <c r="Q56" s="80"/>
    </row>
    <row r="57" spans="1:17" s="36" customFormat="1" ht="32.25" customHeight="1">
      <c r="A57" s="100">
        <v>49</v>
      </c>
      <c r="B57" s="239"/>
      <c r="C57" s="257"/>
      <c r="D57" s="52"/>
      <c r="E57" s="49"/>
      <c r="F57" s="51"/>
      <c r="G57" s="112">
        <f t="shared" si="0"/>
        <v>0</v>
      </c>
      <c r="H57" s="50"/>
      <c r="I57" s="49"/>
      <c r="J57" s="48"/>
      <c r="K57" s="47"/>
      <c r="L57" s="112">
        <f t="shared" si="1"/>
        <v>0</v>
      </c>
      <c r="M57" s="134"/>
      <c r="N57" s="46"/>
      <c r="O57" s="131"/>
      <c r="P57" s="45"/>
      <c r="Q57" s="80"/>
    </row>
    <row r="58" spans="1:17" s="36" customFormat="1" ht="32.25" customHeight="1">
      <c r="A58" s="100">
        <v>50</v>
      </c>
      <c r="B58" s="239"/>
      <c r="C58" s="257"/>
      <c r="D58" s="52"/>
      <c r="E58" s="49"/>
      <c r="F58" s="51"/>
      <c r="G58" s="112">
        <f t="shared" si="0"/>
        <v>0</v>
      </c>
      <c r="H58" s="50"/>
      <c r="I58" s="49"/>
      <c r="J58" s="48"/>
      <c r="K58" s="47"/>
      <c r="L58" s="112">
        <f t="shared" si="1"/>
        <v>0</v>
      </c>
      <c r="M58" s="134"/>
      <c r="N58" s="46"/>
      <c r="O58" s="131"/>
      <c r="P58" s="45"/>
      <c r="Q58" s="80"/>
    </row>
    <row r="59" spans="1:17" s="36" customFormat="1" ht="32.25" customHeight="1">
      <c r="A59" s="100">
        <v>51</v>
      </c>
      <c r="B59" s="239"/>
      <c r="C59" s="257"/>
      <c r="D59" s="52"/>
      <c r="E59" s="49"/>
      <c r="F59" s="51"/>
      <c r="G59" s="112">
        <f t="shared" si="0"/>
        <v>0</v>
      </c>
      <c r="H59" s="50"/>
      <c r="I59" s="49"/>
      <c r="J59" s="48"/>
      <c r="K59" s="47"/>
      <c r="L59" s="112">
        <f t="shared" si="1"/>
        <v>0</v>
      </c>
      <c r="M59" s="134"/>
      <c r="N59" s="46"/>
      <c r="O59" s="131"/>
      <c r="P59" s="45"/>
      <c r="Q59" s="80"/>
    </row>
    <row r="60" spans="1:17" s="36" customFormat="1" ht="32.25" customHeight="1">
      <c r="A60" s="100">
        <v>52</v>
      </c>
      <c r="B60" s="239"/>
      <c r="C60" s="257"/>
      <c r="D60" s="52"/>
      <c r="E60" s="49"/>
      <c r="F60" s="51"/>
      <c r="G60" s="112">
        <f t="shared" si="0"/>
        <v>0</v>
      </c>
      <c r="H60" s="50"/>
      <c r="I60" s="49"/>
      <c r="J60" s="48"/>
      <c r="K60" s="47"/>
      <c r="L60" s="112">
        <f t="shared" si="1"/>
        <v>0</v>
      </c>
      <c r="M60" s="134"/>
      <c r="N60" s="46"/>
      <c r="O60" s="131"/>
      <c r="P60" s="45"/>
      <c r="Q60" s="80"/>
    </row>
    <row r="61" spans="1:17" s="36" customFormat="1" ht="32.25" customHeight="1">
      <c r="A61" s="100">
        <v>53</v>
      </c>
      <c r="B61" s="239"/>
      <c r="C61" s="257"/>
      <c r="D61" s="52"/>
      <c r="E61" s="49"/>
      <c r="F61" s="51"/>
      <c r="G61" s="112">
        <f t="shared" si="0"/>
        <v>0</v>
      </c>
      <c r="H61" s="50"/>
      <c r="I61" s="49"/>
      <c r="J61" s="48"/>
      <c r="K61" s="47"/>
      <c r="L61" s="112">
        <f t="shared" si="1"/>
        <v>0</v>
      </c>
      <c r="M61" s="134"/>
      <c r="N61" s="46"/>
      <c r="O61" s="131"/>
      <c r="P61" s="45"/>
      <c r="Q61" s="80"/>
    </row>
    <row r="62" spans="1:17" s="36" customFormat="1" ht="32.25" customHeight="1">
      <c r="A62" s="100">
        <v>54</v>
      </c>
      <c r="B62" s="239"/>
      <c r="C62" s="257"/>
      <c r="D62" s="52"/>
      <c r="E62" s="49"/>
      <c r="F62" s="51"/>
      <c r="G62" s="112">
        <f t="shared" si="0"/>
        <v>0</v>
      </c>
      <c r="H62" s="50"/>
      <c r="I62" s="49"/>
      <c r="J62" s="48"/>
      <c r="K62" s="47"/>
      <c r="L62" s="112">
        <f t="shared" si="1"/>
        <v>0</v>
      </c>
      <c r="M62" s="134"/>
      <c r="N62" s="46"/>
      <c r="O62" s="131"/>
      <c r="P62" s="45"/>
      <c r="Q62" s="80"/>
    </row>
    <row r="63" spans="1:17" s="36" customFormat="1" ht="32.25" customHeight="1">
      <c r="A63" s="100">
        <v>55</v>
      </c>
      <c r="B63" s="239"/>
      <c r="C63" s="257"/>
      <c r="D63" s="52"/>
      <c r="E63" s="49"/>
      <c r="F63" s="51"/>
      <c r="G63" s="112">
        <f t="shared" si="0"/>
        <v>0</v>
      </c>
      <c r="H63" s="50"/>
      <c r="I63" s="49"/>
      <c r="J63" s="48"/>
      <c r="K63" s="47"/>
      <c r="L63" s="112">
        <f t="shared" si="1"/>
        <v>0</v>
      </c>
      <c r="M63" s="134"/>
      <c r="N63" s="46"/>
      <c r="O63" s="131"/>
      <c r="P63" s="45"/>
      <c r="Q63" s="80"/>
    </row>
    <row r="64" spans="1:17" s="36" customFormat="1" ht="32.25" customHeight="1">
      <c r="A64" s="100">
        <v>56</v>
      </c>
      <c r="B64" s="239"/>
      <c r="C64" s="257"/>
      <c r="D64" s="52"/>
      <c r="E64" s="49"/>
      <c r="F64" s="51"/>
      <c r="G64" s="112">
        <f t="shared" si="0"/>
        <v>0</v>
      </c>
      <c r="H64" s="50"/>
      <c r="I64" s="49"/>
      <c r="J64" s="48"/>
      <c r="K64" s="47"/>
      <c r="L64" s="112">
        <f t="shared" si="1"/>
        <v>0</v>
      </c>
      <c r="M64" s="134"/>
      <c r="N64" s="46"/>
      <c r="O64" s="131"/>
      <c r="P64" s="45"/>
      <c r="Q64" s="80"/>
    </row>
    <row r="65" spans="1:17" s="36" customFormat="1" ht="32.25" customHeight="1">
      <c r="A65" s="100">
        <v>57</v>
      </c>
      <c r="B65" s="239"/>
      <c r="C65" s="257"/>
      <c r="D65" s="52"/>
      <c r="E65" s="49"/>
      <c r="F65" s="51"/>
      <c r="G65" s="112">
        <f t="shared" si="0"/>
        <v>0</v>
      </c>
      <c r="H65" s="50"/>
      <c r="I65" s="49"/>
      <c r="J65" s="48"/>
      <c r="K65" s="47"/>
      <c r="L65" s="112">
        <f t="shared" si="1"/>
        <v>0</v>
      </c>
      <c r="M65" s="134"/>
      <c r="N65" s="46"/>
      <c r="O65" s="131"/>
      <c r="P65" s="45"/>
      <c r="Q65" s="80"/>
    </row>
    <row r="66" spans="1:17" s="36" customFormat="1" ht="32.25" customHeight="1">
      <c r="A66" s="100">
        <v>58</v>
      </c>
      <c r="B66" s="239"/>
      <c r="C66" s="257"/>
      <c r="D66" s="52"/>
      <c r="E66" s="49"/>
      <c r="F66" s="51"/>
      <c r="G66" s="112">
        <f t="shared" si="0"/>
        <v>0</v>
      </c>
      <c r="H66" s="50"/>
      <c r="I66" s="49"/>
      <c r="J66" s="48"/>
      <c r="K66" s="47"/>
      <c r="L66" s="112">
        <f t="shared" si="1"/>
        <v>0</v>
      </c>
      <c r="M66" s="134"/>
      <c r="N66" s="46"/>
      <c r="O66" s="131"/>
      <c r="P66" s="45"/>
      <c r="Q66" s="80"/>
    </row>
    <row r="67" spans="1:17" s="36" customFormat="1" ht="32.25" customHeight="1">
      <c r="A67" s="100">
        <v>59</v>
      </c>
      <c r="B67" s="239"/>
      <c r="C67" s="257"/>
      <c r="D67" s="52"/>
      <c r="E67" s="49"/>
      <c r="F67" s="51"/>
      <c r="G67" s="112">
        <f t="shared" si="0"/>
        <v>0</v>
      </c>
      <c r="H67" s="50"/>
      <c r="I67" s="49"/>
      <c r="J67" s="48"/>
      <c r="K67" s="47"/>
      <c r="L67" s="112">
        <f t="shared" si="1"/>
        <v>0</v>
      </c>
      <c r="M67" s="134"/>
      <c r="N67" s="46"/>
      <c r="O67" s="131"/>
      <c r="P67" s="45"/>
      <c r="Q67" s="80"/>
    </row>
    <row r="68" spans="1:17" s="36" customFormat="1" ht="32.25" customHeight="1">
      <c r="A68" s="100">
        <v>60</v>
      </c>
      <c r="B68" s="239"/>
      <c r="C68" s="257"/>
      <c r="D68" s="52"/>
      <c r="E68" s="49"/>
      <c r="F68" s="51"/>
      <c r="G68" s="112">
        <f t="shared" si="0"/>
        <v>0</v>
      </c>
      <c r="H68" s="50"/>
      <c r="I68" s="49"/>
      <c r="J68" s="48"/>
      <c r="K68" s="47"/>
      <c r="L68" s="112">
        <f t="shared" si="1"/>
        <v>0</v>
      </c>
      <c r="M68" s="134"/>
      <c r="N68" s="46"/>
      <c r="O68" s="131"/>
      <c r="P68" s="45"/>
      <c r="Q68" s="80"/>
    </row>
    <row r="69" spans="1:17" s="36" customFormat="1" ht="32.25" customHeight="1">
      <c r="A69" s="100">
        <v>61</v>
      </c>
      <c r="B69" s="239"/>
      <c r="C69" s="257"/>
      <c r="D69" s="52"/>
      <c r="E69" s="49"/>
      <c r="F69" s="51"/>
      <c r="G69" s="112">
        <f t="shared" si="0"/>
        <v>0</v>
      </c>
      <c r="H69" s="50"/>
      <c r="I69" s="49"/>
      <c r="J69" s="48"/>
      <c r="K69" s="47"/>
      <c r="L69" s="112">
        <f t="shared" si="1"/>
        <v>0</v>
      </c>
      <c r="M69" s="134"/>
      <c r="N69" s="46"/>
      <c r="O69" s="131"/>
      <c r="P69" s="45"/>
      <c r="Q69" s="80"/>
    </row>
    <row r="70" spans="1:17" s="36" customFormat="1" ht="32.25" customHeight="1">
      <c r="A70" s="100">
        <v>62</v>
      </c>
      <c r="B70" s="239"/>
      <c r="C70" s="257"/>
      <c r="D70" s="52"/>
      <c r="E70" s="49"/>
      <c r="F70" s="51"/>
      <c r="G70" s="112">
        <f t="shared" si="0"/>
        <v>0</v>
      </c>
      <c r="H70" s="50"/>
      <c r="I70" s="49"/>
      <c r="J70" s="48"/>
      <c r="K70" s="47"/>
      <c r="L70" s="112">
        <f t="shared" si="1"/>
        <v>0</v>
      </c>
      <c r="M70" s="134"/>
      <c r="N70" s="46"/>
      <c r="O70" s="131"/>
      <c r="P70" s="45"/>
      <c r="Q70" s="80"/>
    </row>
    <row r="71" spans="1:17" s="36" customFormat="1" ht="32.25" customHeight="1">
      <c r="A71" s="100">
        <v>63</v>
      </c>
      <c r="B71" s="239"/>
      <c r="C71" s="257"/>
      <c r="D71" s="52"/>
      <c r="E71" s="49"/>
      <c r="F71" s="51"/>
      <c r="G71" s="112">
        <f t="shared" si="0"/>
        <v>0</v>
      </c>
      <c r="H71" s="50"/>
      <c r="I71" s="49"/>
      <c r="J71" s="48"/>
      <c r="K71" s="47"/>
      <c r="L71" s="112">
        <f t="shared" si="1"/>
        <v>0</v>
      </c>
      <c r="M71" s="134"/>
      <c r="N71" s="46"/>
      <c r="O71" s="131"/>
      <c r="P71" s="45"/>
      <c r="Q71" s="80"/>
    </row>
    <row r="72" spans="1:17" s="36" customFormat="1" ht="32.25" customHeight="1">
      <c r="A72" s="100">
        <v>64</v>
      </c>
      <c r="B72" s="239"/>
      <c r="C72" s="257"/>
      <c r="D72" s="52"/>
      <c r="E72" s="49"/>
      <c r="F72" s="51"/>
      <c r="G72" s="112">
        <f t="shared" si="0"/>
        <v>0</v>
      </c>
      <c r="H72" s="50"/>
      <c r="I72" s="49"/>
      <c r="J72" s="48"/>
      <c r="K72" s="47"/>
      <c r="L72" s="112">
        <f t="shared" si="1"/>
        <v>0</v>
      </c>
      <c r="M72" s="134"/>
      <c r="N72" s="46"/>
      <c r="O72" s="131"/>
      <c r="P72" s="45"/>
      <c r="Q72" s="80"/>
    </row>
    <row r="73" spans="1:17" s="36" customFormat="1" ht="32.25" customHeight="1">
      <c r="A73" s="100">
        <v>65</v>
      </c>
      <c r="B73" s="239"/>
      <c r="C73" s="257"/>
      <c r="D73" s="52"/>
      <c r="E73" s="49"/>
      <c r="F73" s="51"/>
      <c r="G73" s="112">
        <f t="shared" ref="G73:G136" si="2">E73+F73</f>
        <v>0</v>
      </c>
      <c r="H73" s="50"/>
      <c r="I73" s="49"/>
      <c r="J73" s="48"/>
      <c r="K73" s="47"/>
      <c r="L73" s="112">
        <f t="shared" ref="L73:L136" si="3">G73-H73-I73-K73</f>
        <v>0</v>
      </c>
      <c r="M73" s="134"/>
      <c r="N73" s="46"/>
      <c r="O73" s="131"/>
      <c r="P73" s="45"/>
      <c r="Q73" s="80"/>
    </row>
    <row r="74" spans="1:17" s="36" customFormat="1" ht="32.25" customHeight="1">
      <c r="A74" s="100">
        <v>66</v>
      </c>
      <c r="B74" s="239"/>
      <c r="C74" s="257"/>
      <c r="D74" s="52"/>
      <c r="E74" s="49"/>
      <c r="F74" s="51"/>
      <c r="G74" s="112">
        <f t="shared" si="2"/>
        <v>0</v>
      </c>
      <c r="H74" s="50"/>
      <c r="I74" s="49"/>
      <c r="J74" s="48"/>
      <c r="K74" s="47"/>
      <c r="L74" s="112">
        <f t="shared" si="3"/>
        <v>0</v>
      </c>
      <c r="M74" s="134"/>
      <c r="N74" s="46"/>
      <c r="O74" s="131"/>
      <c r="P74" s="45"/>
      <c r="Q74" s="80"/>
    </row>
    <row r="75" spans="1:17" s="36" customFormat="1" ht="32.25" customHeight="1">
      <c r="A75" s="100">
        <v>67</v>
      </c>
      <c r="B75" s="239"/>
      <c r="C75" s="257"/>
      <c r="D75" s="52"/>
      <c r="E75" s="49"/>
      <c r="F75" s="51"/>
      <c r="G75" s="112">
        <f t="shared" si="2"/>
        <v>0</v>
      </c>
      <c r="H75" s="50"/>
      <c r="I75" s="49"/>
      <c r="J75" s="48"/>
      <c r="K75" s="47"/>
      <c r="L75" s="112">
        <f t="shared" si="3"/>
        <v>0</v>
      </c>
      <c r="M75" s="134"/>
      <c r="N75" s="46"/>
      <c r="O75" s="131"/>
      <c r="P75" s="45"/>
      <c r="Q75" s="80"/>
    </row>
    <row r="76" spans="1:17" s="36" customFormat="1" ht="32.25" customHeight="1">
      <c r="A76" s="100">
        <v>68</v>
      </c>
      <c r="B76" s="239"/>
      <c r="C76" s="257"/>
      <c r="D76" s="52"/>
      <c r="E76" s="49"/>
      <c r="F76" s="51"/>
      <c r="G76" s="112">
        <f t="shared" si="2"/>
        <v>0</v>
      </c>
      <c r="H76" s="50"/>
      <c r="I76" s="49"/>
      <c r="J76" s="48"/>
      <c r="K76" s="47"/>
      <c r="L76" s="112">
        <f t="shared" si="3"/>
        <v>0</v>
      </c>
      <c r="M76" s="134"/>
      <c r="N76" s="46"/>
      <c r="O76" s="131"/>
      <c r="P76" s="45"/>
      <c r="Q76" s="80"/>
    </row>
    <row r="77" spans="1:17" s="36" customFormat="1" ht="32.25" customHeight="1">
      <c r="A77" s="100">
        <v>69</v>
      </c>
      <c r="B77" s="239"/>
      <c r="C77" s="257"/>
      <c r="D77" s="52"/>
      <c r="E77" s="49"/>
      <c r="F77" s="51"/>
      <c r="G77" s="112">
        <f t="shared" si="2"/>
        <v>0</v>
      </c>
      <c r="H77" s="50"/>
      <c r="I77" s="49"/>
      <c r="J77" s="48"/>
      <c r="K77" s="47"/>
      <c r="L77" s="112">
        <f t="shared" si="3"/>
        <v>0</v>
      </c>
      <c r="M77" s="134"/>
      <c r="N77" s="46"/>
      <c r="O77" s="131"/>
      <c r="P77" s="45"/>
      <c r="Q77" s="80"/>
    </row>
    <row r="78" spans="1:17" s="36" customFormat="1" ht="32.25" customHeight="1">
      <c r="A78" s="100">
        <v>70</v>
      </c>
      <c r="B78" s="239"/>
      <c r="C78" s="257"/>
      <c r="D78" s="52"/>
      <c r="E78" s="49"/>
      <c r="F78" s="51"/>
      <c r="G78" s="112">
        <f t="shared" si="2"/>
        <v>0</v>
      </c>
      <c r="H78" s="50"/>
      <c r="I78" s="49"/>
      <c r="J78" s="48"/>
      <c r="K78" s="47"/>
      <c r="L78" s="112">
        <f t="shared" si="3"/>
        <v>0</v>
      </c>
      <c r="M78" s="134"/>
      <c r="N78" s="46"/>
      <c r="O78" s="131"/>
      <c r="P78" s="45"/>
      <c r="Q78" s="80"/>
    </row>
    <row r="79" spans="1:17" s="36" customFormat="1" ht="32.25" hidden="1" customHeight="1">
      <c r="A79" s="100">
        <v>71</v>
      </c>
      <c r="B79" s="239"/>
      <c r="C79" s="257"/>
      <c r="D79" s="52"/>
      <c r="E79" s="49"/>
      <c r="F79" s="51"/>
      <c r="G79" s="112">
        <f t="shared" si="2"/>
        <v>0</v>
      </c>
      <c r="H79" s="50"/>
      <c r="I79" s="49"/>
      <c r="J79" s="48"/>
      <c r="K79" s="47"/>
      <c r="L79" s="112">
        <f t="shared" si="3"/>
        <v>0</v>
      </c>
      <c r="M79" s="134"/>
      <c r="N79" s="46"/>
      <c r="O79" s="131"/>
      <c r="P79" s="45"/>
      <c r="Q79" s="80"/>
    </row>
    <row r="80" spans="1:17" s="36" customFormat="1" ht="32.25" hidden="1" customHeight="1">
      <c r="A80" s="100">
        <v>72</v>
      </c>
      <c r="B80" s="239"/>
      <c r="C80" s="257"/>
      <c r="D80" s="52"/>
      <c r="E80" s="49"/>
      <c r="F80" s="51"/>
      <c r="G80" s="112">
        <f t="shared" si="2"/>
        <v>0</v>
      </c>
      <c r="H80" s="50"/>
      <c r="I80" s="49"/>
      <c r="J80" s="48"/>
      <c r="K80" s="47"/>
      <c r="L80" s="112">
        <f t="shared" si="3"/>
        <v>0</v>
      </c>
      <c r="M80" s="134"/>
      <c r="N80" s="46"/>
      <c r="O80" s="131"/>
      <c r="P80" s="45"/>
      <c r="Q80" s="80"/>
    </row>
    <row r="81" spans="1:17" s="36" customFormat="1" ht="32.25" hidden="1" customHeight="1">
      <c r="A81" s="100">
        <v>73</v>
      </c>
      <c r="B81" s="239"/>
      <c r="C81" s="257"/>
      <c r="D81" s="52"/>
      <c r="E81" s="49"/>
      <c r="F81" s="51"/>
      <c r="G81" s="112">
        <f t="shared" si="2"/>
        <v>0</v>
      </c>
      <c r="H81" s="50"/>
      <c r="I81" s="49"/>
      <c r="J81" s="48"/>
      <c r="K81" s="47"/>
      <c r="L81" s="112">
        <f t="shared" si="3"/>
        <v>0</v>
      </c>
      <c r="M81" s="134"/>
      <c r="N81" s="46"/>
      <c r="O81" s="131"/>
      <c r="P81" s="45"/>
      <c r="Q81" s="80"/>
    </row>
    <row r="82" spans="1:17" s="36" customFormat="1" ht="32.25" hidden="1" customHeight="1">
      <c r="A82" s="100">
        <v>74</v>
      </c>
      <c r="B82" s="239"/>
      <c r="C82" s="257"/>
      <c r="D82" s="52"/>
      <c r="E82" s="49"/>
      <c r="F82" s="51"/>
      <c r="G82" s="112">
        <f t="shared" si="2"/>
        <v>0</v>
      </c>
      <c r="H82" s="50"/>
      <c r="I82" s="49"/>
      <c r="J82" s="48"/>
      <c r="K82" s="47"/>
      <c r="L82" s="112">
        <f t="shared" si="3"/>
        <v>0</v>
      </c>
      <c r="M82" s="134"/>
      <c r="N82" s="46"/>
      <c r="O82" s="131"/>
      <c r="P82" s="45"/>
      <c r="Q82" s="80"/>
    </row>
    <row r="83" spans="1:17" s="36" customFormat="1" ht="32.25" hidden="1" customHeight="1">
      <c r="A83" s="100">
        <v>75</v>
      </c>
      <c r="B83" s="239"/>
      <c r="C83" s="257"/>
      <c r="D83" s="52"/>
      <c r="E83" s="49"/>
      <c r="F83" s="51"/>
      <c r="G83" s="112">
        <f t="shared" si="2"/>
        <v>0</v>
      </c>
      <c r="H83" s="50"/>
      <c r="I83" s="49"/>
      <c r="J83" s="48"/>
      <c r="K83" s="47"/>
      <c r="L83" s="112">
        <f t="shared" si="3"/>
        <v>0</v>
      </c>
      <c r="M83" s="134"/>
      <c r="N83" s="46"/>
      <c r="O83" s="131"/>
      <c r="P83" s="45"/>
      <c r="Q83" s="80"/>
    </row>
    <row r="84" spans="1:17" s="36" customFormat="1" ht="32.25" hidden="1" customHeight="1">
      <c r="A84" s="100">
        <v>76</v>
      </c>
      <c r="B84" s="239"/>
      <c r="C84" s="257"/>
      <c r="D84" s="52"/>
      <c r="E84" s="49"/>
      <c r="F84" s="51"/>
      <c r="G84" s="112">
        <f t="shared" si="2"/>
        <v>0</v>
      </c>
      <c r="H84" s="50"/>
      <c r="I84" s="49"/>
      <c r="J84" s="48"/>
      <c r="K84" s="47"/>
      <c r="L84" s="112">
        <f t="shared" si="3"/>
        <v>0</v>
      </c>
      <c r="M84" s="134"/>
      <c r="N84" s="46"/>
      <c r="O84" s="131"/>
      <c r="P84" s="45"/>
      <c r="Q84" s="80"/>
    </row>
    <row r="85" spans="1:17" s="36" customFormat="1" ht="32.25" hidden="1" customHeight="1">
      <c r="A85" s="100">
        <v>77</v>
      </c>
      <c r="B85" s="239"/>
      <c r="C85" s="257"/>
      <c r="D85" s="52"/>
      <c r="E85" s="49"/>
      <c r="F85" s="51"/>
      <c r="G85" s="112">
        <f t="shared" si="2"/>
        <v>0</v>
      </c>
      <c r="H85" s="50"/>
      <c r="I85" s="49"/>
      <c r="J85" s="48"/>
      <c r="K85" s="47"/>
      <c r="L85" s="112">
        <f t="shared" si="3"/>
        <v>0</v>
      </c>
      <c r="M85" s="134"/>
      <c r="N85" s="46"/>
      <c r="O85" s="131"/>
      <c r="P85" s="45"/>
      <c r="Q85" s="80"/>
    </row>
    <row r="86" spans="1:17" s="36" customFormat="1" ht="32.25" hidden="1" customHeight="1">
      <c r="A86" s="100">
        <v>78</v>
      </c>
      <c r="B86" s="239"/>
      <c r="C86" s="257"/>
      <c r="D86" s="52"/>
      <c r="E86" s="49"/>
      <c r="F86" s="51"/>
      <c r="G86" s="112">
        <f t="shared" si="2"/>
        <v>0</v>
      </c>
      <c r="H86" s="50"/>
      <c r="I86" s="49"/>
      <c r="J86" s="48"/>
      <c r="K86" s="47"/>
      <c r="L86" s="112">
        <f t="shared" si="3"/>
        <v>0</v>
      </c>
      <c r="M86" s="134"/>
      <c r="N86" s="46"/>
      <c r="O86" s="131"/>
      <c r="P86" s="45"/>
      <c r="Q86" s="80"/>
    </row>
    <row r="87" spans="1:17" s="36" customFormat="1" ht="32.25" hidden="1" customHeight="1">
      <c r="A87" s="100">
        <v>79</v>
      </c>
      <c r="B87" s="239"/>
      <c r="C87" s="257"/>
      <c r="D87" s="52"/>
      <c r="E87" s="49"/>
      <c r="F87" s="51"/>
      <c r="G87" s="112">
        <f t="shared" si="2"/>
        <v>0</v>
      </c>
      <c r="H87" s="50"/>
      <c r="I87" s="49"/>
      <c r="J87" s="48"/>
      <c r="K87" s="47"/>
      <c r="L87" s="112">
        <f t="shared" si="3"/>
        <v>0</v>
      </c>
      <c r="M87" s="134"/>
      <c r="N87" s="46"/>
      <c r="O87" s="131"/>
      <c r="P87" s="45"/>
      <c r="Q87" s="80"/>
    </row>
    <row r="88" spans="1:17" s="36" customFormat="1" ht="32.25" hidden="1" customHeight="1">
      <c r="A88" s="100">
        <v>80</v>
      </c>
      <c r="B88" s="239"/>
      <c r="C88" s="257"/>
      <c r="D88" s="52"/>
      <c r="E88" s="49"/>
      <c r="F88" s="51"/>
      <c r="G88" s="112">
        <f t="shared" si="2"/>
        <v>0</v>
      </c>
      <c r="H88" s="50"/>
      <c r="I88" s="49"/>
      <c r="J88" s="48"/>
      <c r="K88" s="47"/>
      <c r="L88" s="112">
        <f t="shared" si="3"/>
        <v>0</v>
      </c>
      <c r="M88" s="134"/>
      <c r="N88" s="46"/>
      <c r="O88" s="131"/>
      <c r="P88" s="45"/>
      <c r="Q88" s="80"/>
    </row>
    <row r="89" spans="1:17" s="36" customFormat="1" ht="32.25" hidden="1" customHeight="1">
      <c r="A89" s="100">
        <v>81</v>
      </c>
      <c r="B89" s="239"/>
      <c r="C89" s="257"/>
      <c r="D89" s="52"/>
      <c r="E89" s="49"/>
      <c r="F89" s="51"/>
      <c r="G89" s="112">
        <f t="shared" si="2"/>
        <v>0</v>
      </c>
      <c r="H89" s="50"/>
      <c r="I89" s="49"/>
      <c r="J89" s="48"/>
      <c r="K89" s="47"/>
      <c r="L89" s="112">
        <f t="shared" si="3"/>
        <v>0</v>
      </c>
      <c r="M89" s="134"/>
      <c r="N89" s="46"/>
      <c r="O89" s="131"/>
      <c r="P89" s="45"/>
      <c r="Q89" s="80"/>
    </row>
    <row r="90" spans="1:17" s="36" customFormat="1" ht="32.25" hidden="1" customHeight="1">
      <c r="A90" s="100">
        <v>82</v>
      </c>
      <c r="B90" s="239"/>
      <c r="C90" s="257"/>
      <c r="D90" s="52"/>
      <c r="E90" s="49"/>
      <c r="F90" s="51"/>
      <c r="G90" s="112">
        <f t="shared" si="2"/>
        <v>0</v>
      </c>
      <c r="H90" s="50"/>
      <c r="I90" s="49"/>
      <c r="J90" s="48"/>
      <c r="K90" s="47"/>
      <c r="L90" s="112">
        <f t="shared" si="3"/>
        <v>0</v>
      </c>
      <c r="M90" s="134"/>
      <c r="N90" s="46"/>
      <c r="O90" s="131"/>
      <c r="P90" s="45"/>
      <c r="Q90" s="80"/>
    </row>
    <row r="91" spans="1:17" s="36" customFormat="1" ht="32.25" hidden="1" customHeight="1">
      <c r="A91" s="100">
        <v>83</v>
      </c>
      <c r="B91" s="239"/>
      <c r="C91" s="257"/>
      <c r="D91" s="52"/>
      <c r="E91" s="49"/>
      <c r="F91" s="51"/>
      <c r="G91" s="112">
        <f t="shared" si="2"/>
        <v>0</v>
      </c>
      <c r="H91" s="50"/>
      <c r="I91" s="49"/>
      <c r="J91" s="48"/>
      <c r="K91" s="47"/>
      <c r="L91" s="112">
        <f t="shared" si="3"/>
        <v>0</v>
      </c>
      <c r="M91" s="134"/>
      <c r="N91" s="46"/>
      <c r="O91" s="131"/>
      <c r="P91" s="45"/>
      <c r="Q91" s="80"/>
    </row>
    <row r="92" spans="1:17" s="36" customFormat="1" ht="32.25" hidden="1" customHeight="1">
      <c r="A92" s="100">
        <v>84</v>
      </c>
      <c r="B92" s="239"/>
      <c r="C92" s="257"/>
      <c r="D92" s="52"/>
      <c r="E92" s="49"/>
      <c r="F92" s="51"/>
      <c r="G92" s="112">
        <f t="shared" si="2"/>
        <v>0</v>
      </c>
      <c r="H92" s="50"/>
      <c r="I92" s="49"/>
      <c r="J92" s="48"/>
      <c r="K92" s="47"/>
      <c r="L92" s="112">
        <f t="shared" si="3"/>
        <v>0</v>
      </c>
      <c r="M92" s="134"/>
      <c r="N92" s="46"/>
      <c r="O92" s="131"/>
      <c r="P92" s="45"/>
      <c r="Q92" s="80"/>
    </row>
    <row r="93" spans="1:17" s="36" customFormat="1" ht="32.25" hidden="1" customHeight="1">
      <c r="A93" s="100">
        <v>85</v>
      </c>
      <c r="B93" s="239"/>
      <c r="C93" s="257"/>
      <c r="D93" s="52"/>
      <c r="E93" s="49"/>
      <c r="F93" s="51"/>
      <c r="G93" s="112">
        <f t="shared" si="2"/>
        <v>0</v>
      </c>
      <c r="H93" s="50"/>
      <c r="I93" s="49"/>
      <c r="J93" s="48"/>
      <c r="K93" s="47"/>
      <c r="L93" s="112">
        <f t="shared" si="3"/>
        <v>0</v>
      </c>
      <c r="M93" s="134"/>
      <c r="N93" s="46"/>
      <c r="O93" s="131"/>
      <c r="P93" s="45"/>
      <c r="Q93" s="80"/>
    </row>
    <row r="94" spans="1:17" s="36" customFormat="1" ht="32.25" hidden="1" customHeight="1">
      <c r="A94" s="100">
        <v>86</v>
      </c>
      <c r="B94" s="239"/>
      <c r="C94" s="257"/>
      <c r="D94" s="52"/>
      <c r="E94" s="49"/>
      <c r="F94" s="51"/>
      <c r="G94" s="112">
        <f t="shared" si="2"/>
        <v>0</v>
      </c>
      <c r="H94" s="50"/>
      <c r="I94" s="49"/>
      <c r="J94" s="48"/>
      <c r="K94" s="47"/>
      <c r="L94" s="112">
        <f t="shared" si="3"/>
        <v>0</v>
      </c>
      <c r="M94" s="134"/>
      <c r="N94" s="46"/>
      <c r="O94" s="131"/>
      <c r="P94" s="45"/>
      <c r="Q94" s="80"/>
    </row>
    <row r="95" spans="1:17" s="36" customFormat="1" ht="32.25" hidden="1" customHeight="1">
      <c r="A95" s="100">
        <v>87</v>
      </c>
      <c r="B95" s="239"/>
      <c r="C95" s="257"/>
      <c r="D95" s="52"/>
      <c r="E95" s="49"/>
      <c r="F95" s="51"/>
      <c r="G95" s="112">
        <f t="shared" si="2"/>
        <v>0</v>
      </c>
      <c r="H95" s="50"/>
      <c r="I95" s="49"/>
      <c r="J95" s="48"/>
      <c r="K95" s="47"/>
      <c r="L95" s="112">
        <f t="shared" si="3"/>
        <v>0</v>
      </c>
      <c r="M95" s="134"/>
      <c r="N95" s="46"/>
      <c r="O95" s="131"/>
      <c r="P95" s="45"/>
      <c r="Q95" s="80"/>
    </row>
    <row r="96" spans="1:17" s="36" customFormat="1" ht="32.25" hidden="1" customHeight="1">
      <c r="A96" s="100">
        <v>88</v>
      </c>
      <c r="B96" s="239"/>
      <c r="C96" s="257"/>
      <c r="D96" s="52"/>
      <c r="E96" s="49"/>
      <c r="F96" s="51"/>
      <c r="G96" s="112">
        <f t="shared" si="2"/>
        <v>0</v>
      </c>
      <c r="H96" s="50"/>
      <c r="I96" s="49"/>
      <c r="J96" s="48"/>
      <c r="K96" s="47"/>
      <c r="L96" s="112">
        <f t="shared" si="3"/>
        <v>0</v>
      </c>
      <c r="M96" s="134"/>
      <c r="N96" s="46"/>
      <c r="O96" s="131"/>
      <c r="P96" s="45"/>
      <c r="Q96" s="80"/>
    </row>
    <row r="97" spans="1:17" s="36" customFormat="1" ht="32.25" hidden="1" customHeight="1">
      <c r="A97" s="100">
        <v>89</v>
      </c>
      <c r="B97" s="239"/>
      <c r="C97" s="257"/>
      <c r="D97" s="52"/>
      <c r="E97" s="49"/>
      <c r="F97" s="51"/>
      <c r="G97" s="112">
        <f t="shared" si="2"/>
        <v>0</v>
      </c>
      <c r="H97" s="50"/>
      <c r="I97" s="49"/>
      <c r="J97" s="48"/>
      <c r="K97" s="47"/>
      <c r="L97" s="112">
        <f t="shared" si="3"/>
        <v>0</v>
      </c>
      <c r="M97" s="134"/>
      <c r="N97" s="46"/>
      <c r="O97" s="131"/>
      <c r="P97" s="45"/>
      <c r="Q97" s="80"/>
    </row>
    <row r="98" spans="1:17" s="36" customFormat="1" ht="32.25" hidden="1" customHeight="1">
      <c r="A98" s="100">
        <v>90</v>
      </c>
      <c r="B98" s="239"/>
      <c r="C98" s="257"/>
      <c r="D98" s="52"/>
      <c r="E98" s="49"/>
      <c r="F98" s="51"/>
      <c r="G98" s="112">
        <f t="shared" si="2"/>
        <v>0</v>
      </c>
      <c r="H98" s="50"/>
      <c r="I98" s="49"/>
      <c r="J98" s="48"/>
      <c r="K98" s="47"/>
      <c r="L98" s="112">
        <f t="shared" si="3"/>
        <v>0</v>
      </c>
      <c r="M98" s="134"/>
      <c r="N98" s="46"/>
      <c r="O98" s="131"/>
      <c r="P98" s="45"/>
      <c r="Q98" s="80"/>
    </row>
    <row r="99" spans="1:17" s="36" customFormat="1" ht="32.25" hidden="1" customHeight="1">
      <c r="A99" s="100">
        <v>91</v>
      </c>
      <c r="B99" s="239"/>
      <c r="C99" s="257"/>
      <c r="D99" s="52"/>
      <c r="E99" s="49"/>
      <c r="F99" s="51"/>
      <c r="G99" s="112">
        <f t="shared" si="2"/>
        <v>0</v>
      </c>
      <c r="H99" s="50"/>
      <c r="I99" s="49"/>
      <c r="J99" s="48"/>
      <c r="K99" s="47"/>
      <c r="L99" s="112">
        <f t="shared" si="3"/>
        <v>0</v>
      </c>
      <c r="M99" s="134"/>
      <c r="N99" s="46"/>
      <c r="O99" s="131"/>
      <c r="P99" s="45"/>
      <c r="Q99" s="80"/>
    </row>
    <row r="100" spans="1:17" s="36" customFormat="1" ht="32.25" hidden="1" customHeight="1">
      <c r="A100" s="100">
        <v>92</v>
      </c>
      <c r="B100" s="239"/>
      <c r="C100" s="257"/>
      <c r="D100" s="52"/>
      <c r="E100" s="49"/>
      <c r="F100" s="51"/>
      <c r="G100" s="112">
        <f t="shared" si="2"/>
        <v>0</v>
      </c>
      <c r="H100" s="50"/>
      <c r="I100" s="49"/>
      <c r="J100" s="48"/>
      <c r="K100" s="47"/>
      <c r="L100" s="112">
        <f t="shared" si="3"/>
        <v>0</v>
      </c>
      <c r="M100" s="134"/>
      <c r="N100" s="46"/>
      <c r="O100" s="131"/>
      <c r="P100" s="45"/>
      <c r="Q100" s="80"/>
    </row>
    <row r="101" spans="1:17" s="36" customFormat="1" ht="32.25" hidden="1" customHeight="1">
      <c r="A101" s="100">
        <v>93</v>
      </c>
      <c r="B101" s="239"/>
      <c r="C101" s="257"/>
      <c r="D101" s="52"/>
      <c r="E101" s="49"/>
      <c r="F101" s="51"/>
      <c r="G101" s="112">
        <f t="shared" si="2"/>
        <v>0</v>
      </c>
      <c r="H101" s="50"/>
      <c r="I101" s="49"/>
      <c r="J101" s="48"/>
      <c r="K101" s="47"/>
      <c r="L101" s="112">
        <f t="shared" si="3"/>
        <v>0</v>
      </c>
      <c r="M101" s="134"/>
      <c r="N101" s="46"/>
      <c r="O101" s="131"/>
      <c r="P101" s="45"/>
      <c r="Q101" s="80"/>
    </row>
    <row r="102" spans="1:17" s="36" customFormat="1" ht="32.25" hidden="1" customHeight="1">
      <c r="A102" s="100">
        <v>94</v>
      </c>
      <c r="B102" s="239"/>
      <c r="C102" s="257"/>
      <c r="D102" s="52"/>
      <c r="E102" s="49"/>
      <c r="F102" s="51"/>
      <c r="G102" s="112">
        <f t="shared" si="2"/>
        <v>0</v>
      </c>
      <c r="H102" s="50"/>
      <c r="I102" s="49"/>
      <c r="J102" s="48"/>
      <c r="K102" s="47"/>
      <c r="L102" s="112">
        <f t="shared" si="3"/>
        <v>0</v>
      </c>
      <c r="M102" s="134"/>
      <c r="N102" s="46"/>
      <c r="O102" s="131"/>
      <c r="P102" s="45"/>
      <c r="Q102" s="80"/>
    </row>
    <row r="103" spans="1:17" s="36" customFormat="1" ht="32.25" hidden="1" customHeight="1">
      <c r="A103" s="100">
        <v>95</v>
      </c>
      <c r="B103" s="239"/>
      <c r="C103" s="257"/>
      <c r="D103" s="52"/>
      <c r="E103" s="49"/>
      <c r="F103" s="51"/>
      <c r="G103" s="112">
        <f t="shared" si="2"/>
        <v>0</v>
      </c>
      <c r="H103" s="50"/>
      <c r="I103" s="49"/>
      <c r="J103" s="48"/>
      <c r="K103" s="47"/>
      <c r="L103" s="112">
        <f t="shared" si="3"/>
        <v>0</v>
      </c>
      <c r="M103" s="134"/>
      <c r="N103" s="46"/>
      <c r="O103" s="131"/>
      <c r="P103" s="45"/>
      <c r="Q103" s="80"/>
    </row>
    <row r="104" spans="1:17" s="36" customFormat="1" ht="32.25" hidden="1" customHeight="1">
      <c r="A104" s="100">
        <v>96</v>
      </c>
      <c r="B104" s="239"/>
      <c r="C104" s="257"/>
      <c r="D104" s="52"/>
      <c r="E104" s="49"/>
      <c r="F104" s="51"/>
      <c r="G104" s="112">
        <f t="shared" si="2"/>
        <v>0</v>
      </c>
      <c r="H104" s="50"/>
      <c r="I104" s="49"/>
      <c r="J104" s="48"/>
      <c r="K104" s="47"/>
      <c r="L104" s="112">
        <f t="shared" si="3"/>
        <v>0</v>
      </c>
      <c r="M104" s="134"/>
      <c r="N104" s="46"/>
      <c r="O104" s="131"/>
      <c r="P104" s="45"/>
      <c r="Q104" s="80"/>
    </row>
    <row r="105" spans="1:17" s="36" customFormat="1" ht="32.25" hidden="1" customHeight="1">
      <c r="A105" s="100">
        <v>97</v>
      </c>
      <c r="B105" s="239"/>
      <c r="C105" s="257"/>
      <c r="D105" s="52"/>
      <c r="E105" s="49"/>
      <c r="F105" s="51"/>
      <c r="G105" s="112">
        <f t="shared" si="2"/>
        <v>0</v>
      </c>
      <c r="H105" s="50"/>
      <c r="I105" s="49"/>
      <c r="J105" s="48"/>
      <c r="K105" s="47"/>
      <c r="L105" s="112">
        <f t="shared" si="3"/>
        <v>0</v>
      </c>
      <c r="M105" s="134"/>
      <c r="N105" s="46"/>
      <c r="O105" s="131"/>
      <c r="P105" s="45"/>
      <c r="Q105" s="80"/>
    </row>
    <row r="106" spans="1:17" s="36" customFormat="1" ht="32.25" hidden="1" customHeight="1">
      <c r="A106" s="100">
        <v>98</v>
      </c>
      <c r="B106" s="239"/>
      <c r="C106" s="257"/>
      <c r="D106" s="52"/>
      <c r="E106" s="49"/>
      <c r="F106" s="51"/>
      <c r="G106" s="112">
        <f t="shared" si="2"/>
        <v>0</v>
      </c>
      <c r="H106" s="50"/>
      <c r="I106" s="49"/>
      <c r="J106" s="48"/>
      <c r="K106" s="47"/>
      <c r="L106" s="112">
        <f t="shared" si="3"/>
        <v>0</v>
      </c>
      <c r="M106" s="134"/>
      <c r="N106" s="46"/>
      <c r="O106" s="131"/>
      <c r="P106" s="45"/>
      <c r="Q106" s="80"/>
    </row>
    <row r="107" spans="1:17" s="36" customFormat="1" ht="32.25" hidden="1" customHeight="1">
      <c r="A107" s="100">
        <v>99</v>
      </c>
      <c r="B107" s="239"/>
      <c r="C107" s="257"/>
      <c r="D107" s="52"/>
      <c r="E107" s="49"/>
      <c r="F107" s="51"/>
      <c r="G107" s="112">
        <f t="shared" si="2"/>
        <v>0</v>
      </c>
      <c r="H107" s="50"/>
      <c r="I107" s="49"/>
      <c r="J107" s="48"/>
      <c r="K107" s="47"/>
      <c r="L107" s="112">
        <f t="shared" si="3"/>
        <v>0</v>
      </c>
      <c r="M107" s="134"/>
      <c r="N107" s="46"/>
      <c r="O107" s="131"/>
      <c r="P107" s="45"/>
      <c r="Q107" s="80"/>
    </row>
    <row r="108" spans="1:17" s="36" customFormat="1" ht="32.25" hidden="1" customHeight="1">
      <c r="A108" s="100">
        <v>100</v>
      </c>
      <c r="B108" s="239"/>
      <c r="C108" s="257"/>
      <c r="D108" s="52"/>
      <c r="E108" s="49"/>
      <c r="F108" s="51"/>
      <c r="G108" s="112">
        <f t="shared" si="2"/>
        <v>0</v>
      </c>
      <c r="H108" s="50"/>
      <c r="I108" s="49"/>
      <c r="J108" s="48"/>
      <c r="K108" s="47"/>
      <c r="L108" s="112">
        <f t="shared" si="3"/>
        <v>0</v>
      </c>
      <c r="M108" s="134"/>
      <c r="N108" s="46"/>
      <c r="O108" s="131"/>
      <c r="P108" s="45"/>
      <c r="Q108" s="80"/>
    </row>
    <row r="109" spans="1:17" s="36" customFormat="1" ht="32.25" hidden="1" customHeight="1">
      <c r="A109" s="100">
        <v>101</v>
      </c>
      <c r="B109" s="239"/>
      <c r="C109" s="257"/>
      <c r="D109" s="52"/>
      <c r="E109" s="49"/>
      <c r="F109" s="51"/>
      <c r="G109" s="112">
        <f t="shared" si="2"/>
        <v>0</v>
      </c>
      <c r="H109" s="50"/>
      <c r="I109" s="49"/>
      <c r="J109" s="48"/>
      <c r="K109" s="47"/>
      <c r="L109" s="112">
        <f t="shared" si="3"/>
        <v>0</v>
      </c>
      <c r="M109" s="134"/>
      <c r="N109" s="46"/>
      <c r="O109" s="131"/>
      <c r="P109" s="45"/>
      <c r="Q109" s="80"/>
    </row>
    <row r="110" spans="1:17" s="36" customFormat="1" ht="32.25" hidden="1" customHeight="1">
      <c r="A110" s="100">
        <v>102</v>
      </c>
      <c r="B110" s="239"/>
      <c r="C110" s="257"/>
      <c r="D110" s="52"/>
      <c r="E110" s="49"/>
      <c r="F110" s="51"/>
      <c r="G110" s="112">
        <f t="shared" si="2"/>
        <v>0</v>
      </c>
      <c r="H110" s="50"/>
      <c r="I110" s="49"/>
      <c r="J110" s="48"/>
      <c r="K110" s="47"/>
      <c r="L110" s="112">
        <f t="shared" si="3"/>
        <v>0</v>
      </c>
      <c r="M110" s="134"/>
      <c r="N110" s="46"/>
      <c r="O110" s="131"/>
      <c r="P110" s="45"/>
      <c r="Q110" s="80"/>
    </row>
    <row r="111" spans="1:17" s="36" customFormat="1" ht="32.25" hidden="1" customHeight="1">
      <c r="A111" s="100">
        <v>103</v>
      </c>
      <c r="B111" s="239"/>
      <c r="C111" s="257"/>
      <c r="D111" s="52"/>
      <c r="E111" s="49"/>
      <c r="F111" s="51"/>
      <c r="G111" s="112">
        <f t="shared" si="2"/>
        <v>0</v>
      </c>
      <c r="H111" s="50"/>
      <c r="I111" s="49"/>
      <c r="J111" s="48"/>
      <c r="K111" s="47"/>
      <c r="L111" s="112">
        <f t="shared" si="3"/>
        <v>0</v>
      </c>
      <c r="M111" s="134"/>
      <c r="N111" s="46"/>
      <c r="O111" s="131"/>
      <c r="P111" s="45"/>
      <c r="Q111" s="80"/>
    </row>
    <row r="112" spans="1:17" s="36" customFormat="1" ht="32.25" hidden="1" customHeight="1">
      <c r="A112" s="100">
        <v>104</v>
      </c>
      <c r="B112" s="239"/>
      <c r="C112" s="257"/>
      <c r="D112" s="52"/>
      <c r="E112" s="49"/>
      <c r="F112" s="51"/>
      <c r="G112" s="112">
        <f t="shared" si="2"/>
        <v>0</v>
      </c>
      <c r="H112" s="50"/>
      <c r="I112" s="49"/>
      <c r="J112" s="48"/>
      <c r="K112" s="47"/>
      <c r="L112" s="112">
        <f t="shared" si="3"/>
        <v>0</v>
      </c>
      <c r="M112" s="134"/>
      <c r="N112" s="46"/>
      <c r="O112" s="131"/>
      <c r="P112" s="45"/>
      <c r="Q112" s="80"/>
    </row>
    <row r="113" spans="1:17" s="36" customFormat="1" ht="32.25" hidden="1" customHeight="1">
      <c r="A113" s="100">
        <v>105</v>
      </c>
      <c r="B113" s="239"/>
      <c r="C113" s="257"/>
      <c r="D113" s="52"/>
      <c r="E113" s="49"/>
      <c r="F113" s="51"/>
      <c r="G113" s="112">
        <f t="shared" si="2"/>
        <v>0</v>
      </c>
      <c r="H113" s="50"/>
      <c r="I113" s="49"/>
      <c r="J113" s="48"/>
      <c r="K113" s="47"/>
      <c r="L113" s="112">
        <f t="shared" si="3"/>
        <v>0</v>
      </c>
      <c r="M113" s="134"/>
      <c r="N113" s="46"/>
      <c r="O113" s="131"/>
      <c r="P113" s="45"/>
      <c r="Q113" s="80"/>
    </row>
    <row r="114" spans="1:17" s="36" customFormat="1" ht="32.25" hidden="1" customHeight="1">
      <c r="A114" s="100">
        <v>106</v>
      </c>
      <c r="B114" s="239"/>
      <c r="C114" s="257"/>
      <c r="D114" s="52"/>
      <c r="E114" s="49"/>
      <c r="F114" s="51"/>
      <c r="G114" s="112">
        <f t="shared" si="2"/>
        <v>0</v>
      </c>
      <c r="H114" s="50"/>
      <c r="I114" s="49"/>
      <c r="J114" s="48"/>
      <c r="K114" s="47"/>
      <c r="L114" s="112">
        <f t="shared" si="3"/>
        <v>0</v>
      </c>
      <c r="M114" s="134"/>
      <c r="N114" s="46"/>
      <c r="O114" s="131"/>
      <c r="P114" s="45"/>
      <c r="Q114" s="80"/>
    </row>
    <row r="115" spans="1:17" s="36" customFormat="1" ht="32.25" hidden="1" customHeight="1">
      <c r="A115" s="100">
        <v>107</v>
      </c>
      <c r="B115" s="239"/>
      <c r="C115" s="257"/>
      <c r="D115" s="52"/>
      <c r="E115" s="49"/>
      <c r="F115" s="51"/>
      <c r="G115" s="112">
        <f t="shared" si="2"/>
        <v>0</v>
      </c>
      <c r="H115" s="50"/>
      <c r="I115" s="49"/>
      <c r="J115" s="48"/>
      <c r="K115" s="47"/>
      <c r="L115" s="112">
        <f t="shared" si="3"/>
        <v>0</v>
      </c>
      <c r="M115" s="134"/>
      <c r="N115" s="46"/>
      <c r="O115" s="131"/>
      <c r="P115" s="45"/>
      <c r="Q115" s="80"/>
    </row>
    <row r="116" spans="1:17" s="36" customFormat="1" ht="32.25" hidden="1" customHeight="1">
      <c r="A116" s="100">
        <v>108</v>
      </c>
      <c r="B116" s="239"/>
      <c r="C116" s="257"/>
      <c r="D116" s="52"/>
      <c r="E116" s="49"/>
      <c r="F116" s="51"/>
      <c r="G116" s="112">
        <f t="shared" si="2"/>
        <v>0</v>
      </c>
      <c r="H116" s="50"/>
      <c r="I116" s="49"/>
      <c r="J116" s="48"/>
      <c r="K116" s="47"/>
      <c r="L116" s="112">
        <f t="shared" si="3"/>
        <v>0</v>
      </c>
      <c r="M116" s="134"/>
      <c r="N116" s="46"/>
      <c r="O116" s="131"/>
      <c r="P116" s="45"/>
      <c r="Q116" s="80"/>
    </row>
    <row r="117" spans="1:17" s="36" customFormat="1" ht="32.25" hidden="1" customHeight="1">
      <c r="A117" s="100">
        <v>109</v>
      </c>
      <c r="B117" s="239"/>
      <c r="C117" s="257"/>
      <c r="D117" s="52"/>
      <c r="E117" s="49"/>
      <c r="F117" s="51"/>
      <c r="G117" s="112">
        <f t="shared" si="2"/>
        <v>0</v>
      </c>
      <c r="H117" s="50"/>
      <c r="I117" s="49"/>
      <c r="J117" s="48"/>
      <c r="K117" s="47"/>
      <c r="L117" s="112">
        <f t="shared" si="3"/>
        <v>0</v>
      </c>
      <c r="M117" s="134"/>
      <c r="N117" s="46"/>
      <c r="O117" s="131"/>
      <c r="P117" s="45"/>
      <c r="Q117" s="80"/>
    </row>
    <row r="118" spans="1:17" s="36" customFormat="1" ht="32.25" hidden="1" customHeight="1">
      <c r="A118" s="100">
        <v>110</v>
      </c>
      <c r="B118" s="239"/>
      <c r="C118" s="257"/>
      <c r="D118" s="52"/>
      <c r="E118" s="49"/>
      <c r="F118" s="51"/>
      <c r="G118" s="112">
        <f t="shared" si="2"/>
        <v>0</v>
      </c>
      <c r="H118" s="50"/>
      <c r="I118" s="49"/>
      <c r="J118" s="48"/>
      <c r="K118" s="47"/>
      <c r="L118" s="112">
        <f t="shared" si="3"/>
        <v>0</v>
      </c>
      <c r="M118" s="134"/>
      <c r="N118" s="46"/>
      <c r="O118" s="131"/>
      <c r="P118" s="45"/>
      <c r="Q118" s="80"/>
    </row>
    <row r="119" spans="1:17" s="36" customFormat="1" ht="32.25" hidden="1" customHeight="1">
      <c r="A119" s="100">
        <v>111</v>
      </c>
      <c r="B119" s="239"/>
      <c r="C119" s="257"/>
      <c r="D119" s="52"/>
      <c r="E119" s="49"/>
      <c r="F119" s="51"/>
      <c r="G119" s="112">
        <f t="shared" si="2"/>
        <v>0</v>
      </c>
      <c r="H119" s="50"/>
      <c r="I119" s="49"/>
      <c r="J119" s="48"/>
      <c r="K119" s="47"/>
      <c r="L119" s="112">
        <f t="shared" si="3"/>
        <v>0</v>
      </c>
      <c r="M119" s="134"/>
      <c r="N119" s="46"/>
      <c r="O119" s="131"/>
      <c r="P119" s="45"/>
      <c r="Q119" s="80"/>
    </row>
    <row r="120" spans="1:17" s="36" customFormat="1" ht="32.25" hidden="1" customHeight="1">
      <c r="A120" s="100">
        <v>112</v>
      </c>
      <c r="B120" s="239"/>
      <c r="C120" s="257"/>
      <c r="D120" s="52"/>
      <c r="E120" s="49"/>
      <c r="F120" s="51"/>
      <c r="G120" s="112">
        <f t="shared" si="2"/>
        <v>0</v>
      </c>
      <c r="H120" s="50"/>
      <c r="I120" s="49"/>
      <c r="J120" s="48"/>
      <c r="K120" s="47"/>
      <c r="L120" s="112">
        <f t="shared" si="3"/>
        <v>0</v>
      </c>
      <c r="M120" s="134"/>
      <c r="N120" s="46"/>
      <c r="O120" s="131"/>
      <c r="P120" s="45"/>
      <c r="Q120" s="80"/>
    </row>
    <row r="121" spans="1:17" s="36" customFormat="1" ht="32.25" hidden="1" customHeight="1">
      <c r="A121" s="100">
        <v>113</v>
      </c>
      <c r="B121" s="239"/>
      <c r="C121" s="257"/>
      <c r="D121" s="52"/>
      <c r="E121" s="49"/>
      <c r="F121" s="51"/>
      <c r="G121" s="112">
        <f t="shared" si="2"/>
        <v>0</v>
      </c>
      <c r="H121" s="50"/>
      <c r="I121" s="49"/>
      <c r="J121" s="48"/>
      <c r="K121" s="47"/>
      <c r="L121" s="112">
        <f t="shared" si="3"/>
        <v>0</v>
      </c>
      <c r="M121" s="134"/>
      <c r="N121" s="46"/>
      <c r="O121" s="131"/>
      <c r="P121" s="45"/>
      <c r="Q121" s="80"/>
    </row>
    <row r="122" spans="1:17" s="36" customFormat="1" ht="32.25" hidden="1" customHeight="1">
      <c r="A122" s="100">
        <v>114</v>
      </c>
      <c r="B122" s="239"/>
      <c r="C122" s="257"/>
      <c r="D122" s="52"/>
      <c r="E122" s="49"/>
      <c r="F122" s="51"/>
      <c r="G122" s="112">
        <f t="shared" si="2"/>
        <v>0</v>
      </c>
      <c r="H122" s="50"/>
      <c r="I122" s="49"/>
      <c r="J122" s="48"/>
      <c r="K122" s="47"/>
      <c r="L122" s="112">
        <f t="shared" si="3"/>
        <v>0</v>
      </c>
      <c r="M122" s="134"/>
      <c r="N122" s="46"/>
      <c r="O122" s="131"/>
      <c r="P122" s="45"/>
      <c r="Q122" s="80"/>
    </row>
    <row r="123" spans="1:17" s="36" customFormat="1" ht="32.25" hidden="1" customHeight="1">
      <c r="A123" s="100">
        <v>115</v>
      </c>
      <c r="B123" s="239"/>
      <c r="C123" s="257"/>
      <c r="D123" s="52"/>
      <c r="E123" s="49"/>
      <c r="F123" s="51"/>
      <c r="G123" s="112">
        <f t="shared" si="2"/>
        <v>0</v>
      </c>
      <c r="H123" s="50"/>
      <c r="I123" s="49"/>
      <c r="J123" s="48"/>
      <c r="K123" s="47"/>
      <c r="L123" s="112">
        <f t="shared" si="3"/>
        <v>0</v>
      </c>
      <c r="M123" s="134"/>
      <c r="N123" s="46"/>
      <c r="O123" s="131"/>
      <c r="P123" s="45"/>
      <c r="Q123" s="80"/>
    </row>
    <row r="124" spans="1:17" s="36" customFormat="1" ht="32.25" hidden="1" customHeight="1">
      <c r="A124" s="100">
        <v>116</v>
      </c>
      <c r="B124" s="239"/>
      <c r="C124" s="257"/>
      <c r="D124" s="58"/>
      <c r="E124" s="46"/>
      <c r="F124" s="51"/>
      <c r="G124" s="112">
        <f t="shared" si="2"/>
        <v>0</v>
      </c>
      <c r="H124" s="50"/>
      <c r="I124" s="49"/>
      <c r="J124" s="48"/>
      <c r="K124" s="47"/>
      <c r="L124" s="112">
        <f t="shared" si="3"/>
        <v>0</v>
      </c>
      <c r="M124" s="134"/>
      <c r="N124" s="46"/>
      <c r="O124" s="131"/>
      <c r="P124" s="45"/>
      <c r="Q124" s="80"/>
    </row>
    <row r="125" spans="1:17" s="36" customFormat="1" ht="32.25" hidden="1" customHeight="1">
      <c r="A125" s="100">
        <v>117</v>
      </c>
      <c r="B125" s="239"/>
      <c r="C125" s="257"/>
      <c r="D125" s="53"/>
      <c r="E125" s="46"/>
      <c r="F125" s="51"/>
      <c r="G125" s="112">
        <f t="shared" si="2"/>
        <v>0</v>
      </c>
      <c r="H125" s="50"/>
      <c r="I125" s="49"/>
      <c r="J125" s="48"/>
      <c r="K125" s="47"/>
      <c r="L125" s="112">
        <f t="shared" si="3"/>
        <v>0</v>
      </c>
      <c r="M125" s="134"/>
      <c r="N125" s="46"/>
      <c r="O125" s="131"/>
      <c r="P125" s="45"/>
      <c r="Q125" s="80"/>
    </row>
    <row r="126" spans="1:17" s="36" customFormat="1" ht="32.25" hidden="1" customHeight="1">
      <c r="A126" s="100">
        <v>118</v>
      </c>
      <c r="B126" s="239"/>
      <c r="C126" s="257"/>
      <c r="D126" s="57"/>
      <c r="E126" s="49"/>
      <c r="F126" s="51"/>
      <c r="G126" s="112">
        <f t="shared" si="2"/>
        <v>0</v>
      </c>
      <c r="H126" s="50"/>
      <c r="I126" s="49"/>
      <c r="J126" s="48"/>
      <c r="K126" s="47"/>
      <c r="L126" s="112">
        <f t="shared" si="3"/>
        <v>0</v>
      </c>
      <c r="M126" s="134"/>
      <c r="N126" s="46"/>
      <c r="O126" s="131"/>
      <c r="P126" s="45"/>
      <c r="Q126" s="80"/>
    </row>
    <row r="127" spans="1:17" s="36" customFormat="1" ht="32.25" hidden="1" customHeight="1">
      <c r="A127" s="100">
        <v>119</v>
      </c>
      <c r="B127" s="239"/>
      <c r="C127" s="257"/>
      <c r="D127" s="57"/>
      <c r="E127" s="49"/>
      <c r="F127" s="51"/>
      <c r="G127" s="112">
        <f t="shared" si="2"/>
        <v>0</v>
      </c>
      <c r="H127" s="50"/>
      <c r="I127" s="49"/>
      <c r="J127" s="48"/>
      <c r="K127" s="47"/>
      <c r="L127" s="112">
        <f t="shared" si="3"/>
        <v>0</v>
      </c>
      <c r="M127" s="134"/>
      <c r="N127" s="46"/>
      <c r="O127" s="131"/>
      <c r="P127" s="45"/>
      <c r="Q127" s="80"/>
    </row>
    <row r="128" spans="1:17" s="36" customFormat="1" ht="32.25" hidden="1" customHeight="1">
      <c r="A128" s="100">
        <v>120</v>
      </c>
      <c r="B128" s="239"/>
      <c r="C128" s="257"/>
      <c r="D128" s="57"/>
      <c r="E128" s="49"/>
      <c r="F128" s="51"/>
      <c r="G128" s="112">
        <f t="shared" si="2"/>
        <v>0</v>
      </c>
      <c r="H128" s="50"/>
      <c r="I128" s="49"/>
      <c r="J128" s="48"/>
      <c r="K128" s="47"/>
      <c r="L128" s="112">
        <f t="shared" si="3"/>
        <v>0</v>
      </c>
      <c r="M128" s="134"/>
      <c r="N128" s="46"/>
      <c r="O128" s="131"/>
      <c r="P128" s="45"/>
      <c r="Q128" s="80"/>
    </row>
    <row r="129" spans="1:17" s="36" customFormat="1" ht="32.25" hidden="1" customHeight="1">
      <c r="A129" s="100">
        <v>121</v>
      </c>
      <c r="B129" s="239"/>
      <c r="C129" s="257"/>
      <c r="D129" s="57"/>
      <c r="E129" s="49"/>
      <c r="F129" s="51"/>
      <c r="G129" s="112">
        <f t="shared" si="2"/>
        <v>0</v>
      </c>
      <c r="H129" s="50"/>
      <c r="I129" s="49"/>
      <c r="J129" s="48"/>
      <c r="K129" s="47"/>
      <c r="L129" s="112">
        <f t="shared" si="3"/>
        <v>0</v>
      </c>
      <c r="M129" s="134"/>
      <c r="N129" s="46"/>
      <c r="O129" s="131"/>
      <c r="P129" s="45"/>
      <c r="Q129" s="80"/>
    </row>
    <row r="130" spans="1:17" s="36" customFormat="1" ht="32.25" hidden="1" customHeight="1">
      <c r="A130" s="100">
        <v>122</v>
      </c>
      <c r="B130" s="239"/>
      <c r="C130" s="257"/>
      <c r="D130" s="57"/>
      <c r="E130" s="49"/>
      <c r="F130" s="51"/>
      <c r="G130" s="112">
        <f t="shared" si="2"/>
        <v>0</v>
      </c>
      <c r="H130" s="50"/>
      <c r="I130" s="49"/>
      <c r="J130" s="48"/>
      <c r="K130" s="47"/>
      <c r="L130" s="112">
        <f t="shared" si="3"/>
        <v>0</v>
      </c>
      <c r="M130" s="134"/>
      <c r="N130" s="46"/>
      <c r="O130" s="131"/>
      <c r="P130" s="45"/>
      <c r="Q130" s="80"/>
    </row>
    <row r="131" spans="1:17" s="36" customFormat="1" ht="32.25" hidden="1" customHeight="1">
      <c r="A131" s="100">
        <v>123</v>
      </c>
      <c r="B131" s="239"/>
      <c r="C131" s="257"/>
      <c r="D131" s="52"/>
      <c r="E131" s="49"/>
      <c r="F131" s="51"/>
      <c r="G131" s="112">
        <f t="shared" si="2"/>
        <v>0</v>
      </c>
      <c r="H131" s="50"/>
      <c r="I131" s="49"/>
      <c r="J131" s="48"/>
      <c r="K131" s="47"/>
      <c r="L131" s="112">
        <f t="shared" si="3"/>
        <v>0</v>
      </c>
      <c r="M131" s="134"/>
      <c r="N131" s="46"/>
      <c r="O131" s="131"/>
      <c r="P131" s="45"/>
      <c r="Q131" s="80"/>
    </row>
    <row r="132" spans="1:17" s="36" customFormat="1" ht="32.25" hidden="1" customHeight="1">
      <c r="A132" s="100">
        <v>124</v>
      </c>
      <c r="B132" s="239"/>
      <c r="C132" s="257"/>
      <c r="D132" s="52"/>
      <c r="E132" s="49"/>
      <c r="F132" s="51"/>
      <c r="G132" s="112">
        <f t="shared" si="2"/>
        <v>0</v>
      </c>
      <c r="H132" s="50"/>
      <c r="I132" s="49"/>
      <c r="J132" s="48"/>
      <c r="K132" s="47"/>
      <c r="L132" s="112">
        <f t="shared" si="3"/>
        <v>0</v>
      </c>
      <c r="M132" s="134"/>
      <c r="N132" s="46"/>
      <c r="O132" s="131"/>
      <c r="P132" s="45"/>
      <c r="Q132" s="80"/>
    </row>
    <row r="133" spans="1:17" s="36" customFormat="1" ht="32.25" hidden="1" customHeight="1">
      <c r="A133" s="100">
        <v>125</v>
      </c>
      <c r="B133" s="239"/>
      <c r="C133" s="257"/>
      <c r="D133" s="52"/>
      <c r="E133" s="49"/>
      <c r="F133" s="51"/>
      <c r="G133" s="112">
        <f t="shared" si="2"/>
        <v>0</v>
      </c>
      <c r="H133" s="50"/>
      <c r="I133" s="49"/>
      <c r="J133" s="48"/>
      <c r="K133" s="47"/>
      <c r="L133" s="112">
        <f t="shared" si="3"/>
        <v>0</v>
      </c>
      <c r="M133" s="134"/>
      <c r="N133" s="46"/>
      <c r="O133" s="131"/>
      <c r="P133" s="45"/>
      <c r="Q133" s="80"/>
    </row>
    <row r="134" spans="1:17" s="36" customFormat="1" ht="32.25" hidden="1" customHeight="1">
      <c r="A134" s="100">
        <v>126</v>
      </c>
      <c r="B134" s="239"/>
      <c r="C134" s="257"/>
      <c r="D134" s="52"/>
      <c r="E134" s="49"/>
      <c r="F134" s="51"/>
      <c r="G134" s="112">
        <f t="shared" si="2"/>
        <v>0</v>
      </c>
      <c r="H134" s="50"/>
      <c r="I134" s="49"/>
      <c r="J134" s="48"/>
      <c r="K134" s="47"/>
      <c r="L134" s="112">
        <f t="shared" si="3"/>
        <v>0</v>
      </c>
      <c r="M134" s="134"/>
      <c r="N134" s="46"/>
      <c r="O134" s="131"/>
      <c r="P134" s="45"/>
      <c r="Q134" s="80"/>
    </row>
    <row r="135" spans="1:17" s="36" customFormat="1" ht="32.25" hidden="1" customHeight="1">
      <c r="A135" s="100">
        <v>127</v>
      </c>
      <c r="B135" s="239"/>
      <c r="C135" s="257"/>
      <c r="D135" s="52"/>
      <c r="E135" s="49"/>
      <c r="F135" s="51"/>
      <c r="G135" s="112">
        <f t="shared" si="2"/>
        <v>0</v>
      </c>
      <c r="H135" s="50"/>
      <c r="I135" s="49"/>
      <c r="J135" s="48"/>
      <c r="K135" s="47"/>
      <c r="L135" s="112">
        <f t="shared" si="3"/>
        <v>0</v>
      </c>
      <c r="M135" s="134"/>
      <c r="N135" s="46"/>
      <c r="O135" s="131"/>
      <c r="P135" s="45"/>
      <c r="Q135" s="80"/>
    </row>
    <row r="136" spans="1:17" s="36" customFormat="1" ht="32.25" hidden="1" customHeight="1">
      <c r="A136" s="100">
        <v>128</v>
      </c>
      <c r="B136" s="239"/>
      <c r="C136" s="257"/>
      <c r="D136" s="52"/>
      <c r="E136" s="49"/>
      <c r="F136" s="51"/>
      <c r="G136" s="112">
        <f t="shared" si="2"/>
        <v>0</v>
      </c>
      <c r="H136" s="50"/>
      <c r="I136" s="49"/>
      <c r="J136" s="48"/>
      <c r="K136" s="47"/>
      <c r="L136" s="112">
        <f t="shared" si="3"/>
        <v>0</v>
      </c>
      <c r="M136" s="134"/>
      <c r="N136" s="46"/>
      <c r="O136" s="131"/>
      <c r="P136" s="45"/>
      <c r="Q136" s="80"/>
    </row>
    <row r="137" spans="1:17" s="36" customFormat="1" ht="32.25" hidden="1" customHeight="1">
      <c r="A137" s="100">
        <v>129</v>
      </c>
      <c r="B137" s="239"/>
      <c r="C137" s="257"/>
      <c r="D137" s="52"/>
      <c r="E137" s="49"/>
      <c r="F137" s="51"/>
      <c r="G137" s="112">
        <f t="shared" ref="G137:G200" si="4">E137+F137</f>
        <v>0</v>
      </c>
      <c r="H137" s="50"/>
      <c r="I137" s="49"/>
      <c r="J137" s="48"/>
      <c r="K137" s="47"/>
      <c r="L137" s="112">
        <f t="shared" ref="L137:L200" si="5">G137-H137-I137-K137</f>
        <v>0</v>
      </c>
      <c r="M137" s="134"/>
      <c r="N137" s="46"/>
      <c r="O137" s="131"/>
      <c r="P137" s="45"/>
      <c r="Q137" s="80"/>
    </row>
    <row r="138" spans="1:17" s="36" customFormat="1" ht="32.25" hidden="1" customHeight="1">
      <c r="A138" s="100">
        <v>130</v>
      </c>
      <c r="B138" s="239"/>
      <c r="C138" s="257"/>
      <c r="D138" s="52"/>
      <c r="E138" s="49"/>
      <c r="F138" s="51"/>
      <c r="G138" s="112">
        <f t="shared" si="4"/>
        <v>0</v>
      </c>
      <c r="H138" s="50"/>
      <c r="I138" s="49"/>
      <c r="J138" s="48"/>
      <c r="K138" s="47"/>
      <c r="L138" s="112">
        <f t="shared" si="5"/>
        <v>0</v>
      </c>
      <c r="M138" s="134"/>
      <c r="N138" s="46"/>
      <c r="O138" s="131"/>
      <c r="P138" s="45"/>
      <c r="Q138" s="80"/>
    </row>
    <row r="139" spans="1:17" s="36" customFormat="1" ht="32.25" hidden="1" customHeight="1">
      <c r="A139" s="100">
        <v>131</v>
      </c>
      <c r="B139" s="239"/>
      <c r="C139" s="257"/>
      <c r="D139" s="52"/>
      <c r="E139" s="49"/>
      <c r="F139" s="51"/>
      <c r="G139" s="112">
        <f t="shared" si="4"/>
        <v>0</v>
      </c>
      <c r="H139" s="50"/>
      <c r="I139" s="49"/>
      <c r="J139" s="48"/>
      <c r="K139" s="47"/>
      <c r="L139" s="112">
        <f t="shared" si="5"/>
        <v>0</v>
      </c>
      <c r="M139" s="134"/>
      <c r="N139" s="46"/>
      <c r="O139" s="131"/>
      <c r="P139" s="45"/>
      <c r="Q139" s="80"/>
    </row>
    <row r="140" spans="1:17" s="36" customFormat="1" ht="32.25" hidden="1" customHeight="1">
      <c r="A140" s="100">
        <v>132</v>
      </c>
      <c r="B140" s="239"/>
      <c r="C140" s="257"/>
      <c r="D140" s="52"/>
      <c r="E140" s="49"/>
      <c r="F140" s="51"/>
      <c r="G140" s="112">
        <f t="shared" si="4"/>
        <v>0</v>
      </c>
      <c r="H140" s="50"/>
      <c r="I140" s="49"/>
      <c r="J140" s="48"/>
      <c r="K140" s="47"/>
      <c r="L140" s="112">
        <f t="shared" si="5"/>
        <v>0</v>
      </c>
      <c r="M140" s="134"/>
      <c r="N140" s="46"/>
      <c r="O140" s="131"/>
      <c r="P140" s="45"/>
      <c r="Q140" s="80"/>
    </row>
    <row r="141" spans="1:17" s="36" customFormat="1" ht="32.25" hidden="1" customHeight="1">
      <c r="A141" s="100">
        <v>133</v>
      </c>
      <c r="B141" s="239"/>
      <c r="C141" s="257"/>
      <c r="D141" s="52"/>
      <c r="E141" s="49"/>
      <c r="F141" s="51"/>
      <c r="G141" s="112">
        <f t="shared" si="4"/>
        <v>0</v>
      </c>
      <c r="H141" s="50"/>
      <c r="I141" s="49"/>
      <c r="J141" s="48"/>
      <c r="K141" s="47"/>
      <c r="L141" s="112">
        <f t="shared" si="5"/>
        <v>0</v>
      </c>
      <c r="M141" s="134"/>
      <c r="N141" s="46"/>
      <c r="O141" s="131"/>
      <c r="P141" s="45"/>
      <c r="Q141" s="80"/>
    </row>
    <row r="142" spans="1:17" s="36" customFormat="1" ht="32.25" hidden="1" customHeight="1">
      <c r="A142" s="100">
        <v>134</v>
      </c>
      <c r="B142" s="239"/>
      <c r="C142" s="257"/>
      <c r="D142" s="52"/>
      <c r="E142" s="49"/>
      <c r="F142" s="51"/>
      <c r="G142" s="112">
        <f t="shared" si="4"/>
        <v>0</v>
      </c>
      <c r="H142" s="50"/>
      <c r="I142" s="49"/>
      <c r="J142" s="48"/>
      <c r="K142" s="47"/>
      <c r="L142" s="112">
        <f t="shared" si="5"/>
        <v>0</v>
      </c>
      <c r="M142" s="134"/>
      <c r="N142" s="46"/>
      <c r="O142" s="131"/>
      <c r="P142" s="45"/>
      <c r="Q142" s="80"/>
    </row>
    <row r="143" spans="1:17" s="36" customFormat="1" ht="32.25" hidden="1" customHeight="1">
      <c r="A143" s="100">
        <v>135</v>
      </c>
      <c r="B143" s="239"/>
      <c r="C143" s="257"/>
      <c r="D143" s="52"/>
      <c r="E143" s="49"/>
      <c r="F143" s="51"/>
      <c r="G143" s="112">
        <f t="shared" si="4"/>
        <v>0</v>
      </c>
      <c r="H143" s="50"/>
      <c r="I143" s="49"/>
      <c r="J143" s="48"/>
      <c r="K143" s="47"/>
      <c r="L143" s="112">
        <f t="shared" si="5"/>
        <v>0</v>
      </c>
      <c r="M143" s="134"/>
      <c r="N143" s="46"/>
      <c r="O143" s="131"/>
      <c r="P143" s="45"/>
      <c r="Q143" s="80"/>
    </row>
    <row r="144" spans="1:17" s="36" customFormat="1" ht="32.25" hidden="1" customHeight="1">
      <c r="A144" s="100">
        <v>136</v>
      </c>
      <c r="B144" s="239"/>
      <c r="C144" s="257"/>
      <c r="D144" s="52"/>
      <c r="E144" s="49"/>
      <c r="F144" s="51"/>
      <c r="G144" s="112">
        <f t="shared" si="4"/>
        <v>0</v>
      </c>
      <c r="H144" s="50"/>
      <c r="I144" s="49"/>
      <c r="J144" s="48"/>
      <c r="K144" s="47"/>
      <c r="L144" s="112">
        <f t="shared" si="5"/>
        <v>0</v>
      </c>
      <c r="M144" s="134"/>
      <c r="N144" s="46"/>
      <c r="O144" s="131"/>
      <c r="P144" s="45"/>
      <c r="Q144" s="80"/>
    </row>
    <row r="145" spans="1:17" s="36" customFormat="1" ht="32.25" hidden="1" customHeight="1">
      <c r="A145" s="100">
        <v>137</v>
      </c>
      <c r="B145" s="239"/>
      <c r="C145" s="257"/>
      <c r="D145" s="52"/>
      <c r="E145" s="49"/>
      <c r="F145" s="51"/>
      <c r="G145" s="112">
        <f t="shared" si="4"/>
        <v>0</v>
      </c>
      <c r="H145" s="50"/>
      <c r="I145" s="49"/>
      <c r="J145" s="48"/>
      <c r="K145" s="47"/>
      <c r="L145" s="112">
        <f t="shared" si="5"/>
        <v>0</v>
      </c>
      <c r="M145" s="134"/>
      <c r="N145" s="46"/>
      <c r="O145" s="131"/>
      <c r="P145" s="45"/>
      <c r="Q145" s="80"/>
    </row>
    <row r="146" spans="1:17" s="36" customFormat="1" ht="32.25" hidden="1" customHeight="1">
      <c r="A146" s="100">
        <v>138</v>
      </c>
      <c r="B146" s="239"/>
      <c r="C146" s="257"/>
      <c r="D146" s="52"/>
      <c r="E146" s="49"/>
      <c r="F146" s="51"/>
      <c r="G146" s="112">
        <f t="shared" si="4"/>
        <v>0</v>
      </c>
      <c r="H146" s="50"/>
      <c r="I146" s="49"/>
      <c r="J146" s="48"/>
      <c r="K146" s="47"/>
      <c r="L146" s="112">
        <f t="shared" si="5"/>
        <v>0</v>
      </c>
      <c r="M146" s="134"/>
      <c r="N146" s="46"/>
      <c r="O146" s="131"/>
      <c r="P146" s="45"/>
      <c r="Q146" s="80"/>
    </row>
    <row r="147" spans="1:17" s="36" customFormat="1" ht="32.25" hidden="1" customHeight="1">
      <c r="A147" s="100">
        <v>139</v>
      </c>
      <c r="B147" s="239"/>
      <c r="C147" s="257"/>
      <c r="D147" s="52"/>
      <c r="E147" s="49"/>
      <c r="F147" s="51"/>
      <c r="G147" s="112">
        <f t="shared" si="4"/>
        <v>0</v>
      </c>
      <c r="H147" s="50"/>
      <c r="I147" s="49"/>
      <c r="J147" s="48"/>
      <c r="K147" s="47"/>
      <c r="L147" s="112">
        <f t="shared" si="5"/>
        <v>0</v>
      </c>
      <c r="M147" s="134"/>
      <c r="N147" s="46"/>
      <c r="O147" s="131"/>
      <c r="P147" s="45"/>
      <c r="Q147" s="80"/>
    </row>
    <row r="148" spans="1:17" s="36" customFormat="1" ht="32.25" hidden="1" customHeight="1">
      <c r="A148" s="100">
        <v>140</v>
      </c>
      <c r="B148" s="239"/>
      <c r="C148" s="257"/>
      <c r="D148" s="52"/>
      <c r="E148" s="49"/>
      <c r="F148" s="51"/>
      <c r="G148" s="112">
        <f t="shared" si="4"/>
        <v>0</v>
      </c>
      <c r="H148" s="50"/>
      <c r="I148" s="49"/>
      <c r="J148" s="48"/>
      <c r="K148" s="47"/>
      <c r="L148" s="112">
        <f t="shared" si="5"/>
        <v>0</v>
      </c>
      <c r="M148" s="134"/>
      <c r="N148" s="46"/>
      <c r="O148" s="131"/>
      <c r="P148" s="45"/>
      <c r="Q148" s="80"/>
    </row>
    <row r="149" spans="1:17" s="36" customFormat="1" ht="32.25" hidden="1" customHeight="1">
      <c r="A149" s="100">
        <v>141</v>
      </c>
      <c r="B149" s="239"/>
      <c r="C149" s="257"/>
      <c r="D149" s="52"/>
      <c r="E149" s="49"/>
      <c r="F149" s="51"/>
      <c r="G149" s="112">
        <f t="shared" si="4"/>
        <v>0</v>
      </c>
      <c r="H149" s="50"/>
      <c r="I149" s="49"/>
      <c r="J149" s="48"/>
      <c r="K149" s="47"/>
      <c r="L149" s="112">
        <f t="shared" si="5"/>
        <v>0</v>
      </c>
      <c r="M149" s="134"/>
      <c r="N149" s="46"/>
      <c r="O149" s="131"/>
      <c r="P149" s="45"/>
      <c r="Q149" s="80"/>
    </row>
    <row r="150" spans="1:17" s="36" customFormat="1" ht="32.25" hidden="1" customHeight="1">
      <c r="A150" s="100">
        <v>142</v>
      </c>
      <c r="B150" s="239"/>
      <c r="C150" s="257"/>
      <c r="D150" s="52"/>
      <c r="E150" s="49"/>
      <c r="F150" s="51"/>
      <c r="G150" s="112">
        <f t="shared" si="4"/>
        <v>0</v>
      </c>
      <c r="H150" s="50"/>
      <c r="I150" s="49"/>
      <c r="J150" s="48"/>
      <c r="K150" s="47"/>
      <c r="L150" s="112">
        <f t="shared" si="5"/>
        <v>0</v>
      </c>
      <c r="M150" s="134"/>
      <c r="N150" s="46"/>
      <c r="O150" s="131"/>
      <c r="P150" s="45"/>
      <c r="Q150" s="80"/>
    </row>
    <row r="151" spans="1:17" s="36" customFormat="1" ht="32.25" hidden="1" customHeight="1">
      <c r="A151" s="100">
        <v>143</v>
      </c>
      <c r="B151" s="239"/>
      <c r="C151" s="257"/>
      <c r="D151" s="52"/>
      <c r="E151" s="49"/>
      <c r="F151" s="51"/>
      <c r="G151" s="112">
        <f t="shared" si="4"/>
        <v>0</v>
      </c>
      <c r="H151" s="50"/>
      <c r="I151" s="49"/>
      <c r="J151" s="48"/>
      <c r="K151" s="47"/>
      <c r="L151" s="112">
        <f t="shared" si="5"/>
        <v>0</v>
      </c>
      <c r="M151" s="134"/>
      <c r="N151" s="46"/>
      <c r="O151" s="131"/>
      <c r="P151" s="45"/>
      <c r="Q151" s="80"/>
    </row>
    <row r="152" spans="1:17" s="36" customFormat="1" ht="32.25" hidden="1" customHeight="1">
      <c r="A152" s="100">
        <v>144</v>
      </c>
      <c r="B152" s="239"/>
      <c r="C152" s="257"/>
      <c r="D152" s="52"/>
      <c r="E152" s="49"/>
      <c r="F152" s="51"/>
      <c r="G152" s="112">
        <f t="shared" si="4"/>
        <v>0</v>
      </c>
      <c r="H152" s="50"/>
      <c r="I152" s="49"/>
      <c r="J152" s="48"/>
      <c r="K152" s="47"/>
      <c r="L152" s="112">
        <f t="shared" si="5"/>
        <v>0</v>
      </c>
      <c r="M152" s="134"/>
      <c r="N152" s="46"/>
      <c r="O152" s="131"/>
      <c r="P152" s="45"/>
      <c r="Q152" s="80"/>
    </row>
    <row r="153" spans="1:17" s="36" customFormat="1" ht="32.25" hidden="1" customHeight="1">
      <c r="A153" s="100">
        <v>145</v>
      </c>
      <c r="B153" s="239"/>
      <c r="C153" s="257"/>
      <c r="D153" s="52"/>
      <c r="E153" s="49"/>
      <c r="F153" s="51"/>
      <c r="G153" s="112">
        <f t="shared" si="4"/>
        <v>0</v>
      </c>
      <c r="H153" s="50"/>
      <c r="I153" s="49"/>
      <c r="J153" s="48"/>
      <c r="K153" s="47"/>
      <c r="L153" s="112">
        <f t="shared" si="5"/>
        <v>0</v>
      </c>
      <c r="M153" s="134"/>
      <c r="N153" s="46"/>
      <c r="O153" s="131"/>
      <c r="P153" s="45"/>
      <c r="Q153" s="80"/>
    </row>
    <row r="154" spans="1:17" s="36" customFormat="1" ht="32.25" hidden="1" customHeight="1">
      <c r="A154" s="100">
        <v>146</v>
      </c>
      <c r="B154" s="239"/>
      <c r="C154" s="257"/>
      <c r="D154" s="52"/>
      <c r="E154" s="49"/>
      <c r="F154" s="51"/>
      <c r="G154" s="112">
        <f t="shared" si="4"/>
        <v>0</v>
      </c>
      <c r="H154" s="50"/>
      <c r="I154" s="49"/>
      <c r="J154" s="48"/>
      <c r="K154" s="47"/>
      <c r="L154" s="112">
        <f t="shared" si="5"/>
        <v>0</v>
      </c>
      <c r="M154" s="134"/>
      <c r="N154" s="46"/>
      <c r="O154" s="131"/>
      <c r="P154" s="45"/>
      <c r="Q154" s="80"/>
    </row>
    <row r="155" spans="1:17" s="36" customFormat="1" ht="32.25" hidden="1" customHeight="1">
      <c r="A155" s="100">
        <v>147</v>
      </c>
      <c r="B155" s="239"/>
      <c r="C155" s="257"/>
      <c r="D155" s="52"/>
      <c r="E155" s="49"/>
      <c r="F155" s="51"/>
      <c r="G155" s="112">
        <f t="shared" si="4"/>
        <v>0</v>
      </c>
      <c r="H155" s="50"/>
      <c r="I155" s="49"/>
      <c r="J155" s="48"/>
      <c r="K155" s="47"/>
      <c r="L155" s="112">
        <f t="shared" si="5"/>
        <v>0</v>
      </c>
      <c r="M155" s="134"/>
      <c r="N155" s="46"/>
      <c r="O155" s="131"/>
      <c r="P155" s="45"/>
      <c r="Q155" s="80"/>
    </row>
    <row r="156" spans="1:17" s="36" customFormat="1" ht="32.25" hidden="1" customHeight="1">
      <c r="A156" s="100">
        <v>148</v>
      </c>
      <c r="B156" s="239"/>
      <c r="C156" s="257"/>
      <c r="D156" s="52"/>
      <c r="E156" s="49"/>
      <c r="F156" s="51"/>
      <c r="G156" s="112">
        <f t="shared" si="4"/>
        <v>0</v>
      </c>
      <c r="H156" s="50"/>
      <c r="I156" s="49"/>
      <c r="J156" s="48"/>
      <c r="K156" s="47"/>
      <c r="L156" s="112">
        <f t="shared" si="5"/>
        <v>0</v>
      </c>
      <c r="M156" s="134"/>
      <c r="N156" s="46"/>
      <c r="O156" s="131"/>
      <c r="P156" s="45"/>
      <c r="Q156" s="80"/>
    </row>
    <row r="157" spans="1:17" s="36" customFormat="1" ht="32.25" hidden="1" customHeight="1">
      <c r="A157" s="100">
        <v>149</v>
      </c>
      <c r="B157" s="239"/>
      <c r="C157" s="257"/>
      <c r="D157" s="52"/>
      <c r="E157" s="49"/>
      <c r="F157" s="51"/>
      <c r="G157" s="112">
        <f t="shared" si="4"/>
        <v>0</v>
      </c>
      <c r="H157" s="50"/>
      <c r="I157" s="49"/>
      <c r="J157" s="48"/>
      <c r="K157" s="47"/>
      <c r="L157" s="112">
        <f t="shared" si="5"/>
        <v>0</v>
      </c>
      <c r="M157" s="134"/>
      <c r="N157" s="46"/>
      <c r="O157" s="131"/>
      <c r="P157" s="45"/>
      <c r="Q157" s="80"/>
    </row>
    <row r="158" spans="1:17" s="36" customFormat="1" ht="32.25" hidden="1" customHeight="1">
      <c r="A158" s="100">
        <v>150</v>
      </c>
      <c r="B158" s="239"/>
      <c r="C158" s="257"/>
      <c r="D158" s="52"/>
      <c r="E158" s="49"/>
      <c r="F158" s="51"/>
      <c r="G158" s="112">
        <f t="shared" si="4"/>
        <v>0</v>
      </c>
      <c r="H158" s="50"/>
      <c r="I158" s="49"/>
      <c r="J158" s="48"/>
      <c r="K158" s="47"/>
      <c r="L158" s="112">
        <f t="shared" si="5"/>
        <v>0</v>
      </c>
      <c r="M158" s="134"/>
      <c r="N158" s="46"/>
      <c r="O158" s="131"/>
      <c r="P158" s="45"/>
      <c r="Q158" s="80"/>
    </row>
    <row r="159" spans="1:17" s="36" customFormat="1" ht="32.25" hidden="1" customHeight="1">
      <c r="A159" s="100">
        <v>151</v>
      </c>
      <c r="B159" s="239"/>
      <c r="C159" s="257"/>
      <c r="D159" s="52"/>
      <c r="E159" s="49"/>
      <c r="F159" s="51"/>
      <c r="G159" s="112">
        <f t="shared" si="4"/>
        <v>0</v>
      </c>
      <c r="H159" s="50"/>
      <c r="I159" s="49"/>
      <c r="J159" s="48"/>
      <c r="K159" s="47"/>
      <c r="L159" s="112">
        <f t="shared" si="5"/>
        <v>0</v>
      </c>
      <c r="M159" s="134"/>
      <c r="N159" s="46"/>
      <c r="O159" s="131"/>
      <c r="P159" s="45"/>
      <c r="Q159" s="80"/>
    </row>
    <row r="160" spans="1:17" s="36" customFormat="1" ht="32.25" hidden="1" customHeight="1">
      <c r="A160" s="100">
        <v>152</v>
      </c>
      <c r="B160" s="239"/>
      <c r="C160" s="257"/>
      <c r="D160" s="52"/>
      <c r="E160" s="49"/>
      <c r="F160" s="51"/>
      <c r="G160" s="112">
        <f t="shared" si="4"/>
        <v>0</v>
      </c>
      <c r="H160" s="50"/>
      <c r="I160" s="49"/>
      <c r="J160" s="48"/>
      <c r="K160" s="47"/>
      <c r="L160" s="112">
        <f t="shared" si="5"/>
        <v>0</v>
      </c>
      <c r="M160" s="134"/>
      <c r="N160" s="46"/>
      <c r="O160" s="131"/>
      <c r="P160" s="45"/>
      <c r="Q160" s="80"/>
    </row>
    <row r="161" spans="1:17" s="36" customFormat="1" ht="32.25" hidden="1" customHeight="1">
      <c r="A161" s="100">
        <v>153</v>
      </c>
      <c r="B161" s="239"/>
      <c r="C161" s="257"/>
      <c r="D161" s="52"/>
      <c r="E161" s="49"/>
      <c r="F161" s="51"/>
      <c r="G161" s="112">
        <f t="shared" si="4"/>
        <v>0</v>
      </c>
      <c r="H161" s="50"/>
      <c r="I161" s="49"/>
      <c r="J161" s="48"/>
      <c r="K161" s="47"/>
      <c r="L161" s="112">
        <f t="shared" si="5"/>
        <v>0</v>
      </c>
      <c r="M161" s="134"/>
      <c r="N161" s="46"/>
      <c r="O161" s="131"/>
      <c r="P161" s="45"/>
      <c r="Q161" s="80"/>
    </row>
    <row r="162" spans="1:17" s="36" customFormat="1" ht="32.25" hidden="1" customHeight="1">
      <c r="A162" s="100">
        <v>154</v>
      </c>
      <c r="B162" s="239"/>
      <c r="C162" s="257"/>
      <c r="D162" s="52"/>
      <c r="E162" s="49"/>
      <c r="F162" s="51"/>
      <c r="G162" s="112">
        <f t="shared" si="4"/>
        <v>0</v>
      </c>
      <c r="H162" s="50"/>
      <c r="I162" s="49"/>
      <c r="J162" s="48"/>
      <c r="K162" s="47"/>
      <c r="L162" s="112">
        <f t="shared" si="5"/>
        <v>0</v>
      </c>
      <c r="M162" s="134"/>
      <c r="N162" s="46"/>
      <c r="O162" s="131"/>
      <c r="P162" s="45"/>
      <c r="Q162" s="80"/>
    </row>
    <row r="163" spans="1:17" s="36" customFormat="1" ht="32.25" hidden="1" customHeight="1">
      <c r="A163" s="100">
        <v>155</v>
      </c>
      <c r="B163" s="239"/>
      <c r="C163" s="257"/>
      <c r="D163" s="52"/>
      <c r="E163" s="49"/>
      <c r="F163" s="51"/>
      <c r="G163" s="112">
        <f t="shared" si="4"/>
        <v>0</v>
      </c>
      <c r="H163" s="50"/>
      <c r="I163" s="49"/>
      <c r="J163" s="48"/>
      <c r="K163" s="47"/>
      <c r="L163" s="112">
        <f t="shared" si="5"/>
        <v>0</v>
      </c>
      <c r="M163" s="134"/>
      <c r="N163" s="46"/>
      <c r="O163" s="131"/>
      <c r="P163" s="45"/>
      <c r="Q163" s="80"/>
    </row>
    <row r="164" spans="1:17" s="36" customFormat="1" ht="32.25" hidden="1" customHeight="1">
      <c r="A164" s="100">
        <v>156</v>
      </c>
      <c r="B164" s="239"/>
      <c r="C164" s="257"/>
      <c r="D164" s="52"/>
      <c r="E164" s="49"/>
      <c r="F164" s="51"/>
      <c r="G164" s="112">
        <f t="shared" si="4"/>
        <v>0</v>
      </c>
      <c r="H164" s="50"/>
      <c r="I164" s="49"/>
      <c r="J164" s="48"/>
      <c r="K164" s="47"/>
      <c r="L164" s="112">
        <f t="shared" si="5"/>
        <v>0</v>
      </c>
      <c r="M164" s="134"/>
      <c r="N164" s="46"/>
      <c r="O164" s="131"/>
      <c r="P164" s="45"/>
      <c r="Q164" s="80"/>
    </row>
    <row r="165" spans="1:17" s="36" customFormat="1" ht="32.25" hidden="1" customHeight="1">
      <c r="A165" s="100">
        <v>157</v>
      </c>
      <c r="B165" s="239"/>
      <c r="C165" s="257"/>
      <c r="D165" s="52"/>
      <c r="E165" s="49"/>
      <c r="F165" s="51"/>
      <c r="G165" s="112">
        <f t="shared" si="4"/>
        <v>0</v>
      </c>
      <c r="H165" s="50"/>
      <c r="I165" s="49"/>
      <c r="J165" s="48"/>
      <c r="K165" s="47"/>
      <c r="L165" s="112">
        <f t="shared" si="5"/>
        <v>0</v>
      </c>
      <c r="M165" s="134"/>
      <c r="N165" s="46"/>
      <c r="O165" s="131"/>
      <c r="P165" s="45"/>
      <c r="Q165" s="80"/>
    </row>
    <row r="166" spans="1:17" s="36" customFormat="1" ht="32.25" hidden="1" customHeight="1">
      <c r="A166" s="100">
        <v>158</v>
      </c>
      <c r="B166" s="239"/>
      <c r="C166" s="257"/>
      <c r="D166" s="52"/>
      <c r="E166" s="49"/>
      <c r="F166" s="51"/>
      <c r="G166" s="112">
        <f t="shared" si="4"/>
        <v>0</v>
      </c>
      <c r="H166" s="50"/>
      <c r="I166" s="49"/>
      <c r="J166" s="48"/>
      <c r="K166" s="47"/>
      <c r="L166" s="112">
        <f t="shared" si="5"/>
        <v>0</v>
      </c>
      <c r="M166" s="134"/>
      <c r="N166" s="46"/>
      <c r="O166" s="131"/>
      <c r="P166" s="45"/>
      <c r="Q166" s="80"/>
    </row>
    <row r="167" spans="1:17" s="36" customFormat="1" ht="32.25" hidden="1" customHeight="1">
      <c r="A167" s="100">
        <v>159</v>
      </c>
      <c r="B167" s="239"/>
      <c r="C167" s="257"/>
      <c r="D167" s="52"/>
      <c r="E167" s="49"/>
      <c r="F167" s="51"/>
      <c r="G167" s="112">
        <f t="shared" si="4"/>
        <v>0</v>
      </c>
      <c r="H167" s="50"/>
      <c r="I167" s="49"/>
      <c r="J167" s="48"/>
      <c r="K167" s="47"/>
      <c r="L167" s="112">
        <f t="shared" si="5"/>
        <v>0</v>
      </c>
      <c r="M167" s="134"/>
      <c r="N167" s="46"/>
      <c r="O167" s="131"/>
      <c r="P167" s="45"/>
      <c r="Q167" s="80"/>
    </row>
    <row r="168" spans="1:17" s="36" customFormat="1" ht="32.25" hidden="1" customHeight="1">
      <c r="A168" s="100">
        <v>160</v>
      </c>
      <c r="B168" s="239"/>
      <c r="C168" s="257"/>
      <c r="D168" s="52"/>
      <c r="E168" s="49"/>
      <c r="F168" s="51"/>
      <c r="G168" s="112">
        <f t="shared" si="4"/>
        <v>0</v>
      </c>
      <c r="H168" s="50"/>
      <c r="I168" s="49"/>
      <c r="J168" s="48"/>
      <c r="K168" s="47"/>
      <c r="L168" s="112">
        <f t="shared" si="5"/>
        <v>0</v>
      </c>
      <c r="M168" s="134"/>
      <c r="N168" s="46"/>
      <c r="O168" s="131"/>
      <c r="P168" s="45"/>
      <c r="Q168" s="80"/>
    </row>
    <row r="169" spans="1:17" s="36" customFormat="1" ht="32.25" hidden="1" customHeight="1">
      <c r="A169" s="100">
        <v>161</v>
      </c>
      <c r="B169" s="239"/>
      <c r="C169" s="257"/>
      <c r="D169" s="52"/>
      <c r="E169" s="49"/>
      <c r="F169" s="51"/>
      <c r="G169" s="112">
        <f t="shared" si="4"/>
        <v>0</v>
      </c>
      <c r="H169" s="50"/>
      <c r="I169" s="49"/>
      <c r="J169" s="48"/>
      <c r="K169" s="47"/>
      <c r="L169" s="112">
        <f t="shared" si="5"/>
        <v>0</v>
      </c>
      <c r="M169" s="134"/>
      <c r="N169" s="46"/>
      <c r="O169" s="131"/>
      <c r="P169" s="45"/>
      <c r="Q169" s="80"/>
    </row>
    <row r="170" spans="1:17" s="36" customFormat="1" ht="32.25" hidden="1" customHeight="1">
      <c r="A170" s="100">
        <v>162</v>
      </c>
      <c r="B170" s="239"/>
      <c r="C170" s="257"/>
      <c r="D170" s="52"/>
      <c r="E170" s="49"/>
      <c r="F170" s="51"/>
      <c r="G170" s="112">
        <f t="shared" si="4"/>
        <v>0</v>
      </c>
      <c r="H170" s="50"/>
      <c r="I170" s="49"/>
      <c r="J170" s="48"/>
      <c r="K170" s="47"/>
      <c r="L170" s="112">
        <f t="shared" si="5"/>
        <v>0</v>
      </c>
      <c r="M170" s="134"/>
      <c r="N170" s="46"/>
      <c r="O170" s="131"/>
      <c r="P170" s="45"/>
      <c r="Q170" s="80"/>
    </row>
    <row r="171" spans="1:17" s="36" customFormat="1" ht="32.25" hidden="1" customHeight="1">
      <c r="A171" s="100">
        <v>163</v>
      </c>
      <c r="B171" s="239"/>
      <c r="C171" s="257"/>
      <c r="D171" s="52"/>
      <c r="E171" s="49"/>
      <c r="F171" s="51"/>
      <c r="G171" s="112">
        <f t="shared" si="4"/>
        <v>0</v>
      </c>
      <c r="H171" s="50"/>
      <c r="I171" s="49"/>
      <c r="J171" s="48"/>
      <c r="K171" s="47"/>
      <c r="L171" s="112">
        <f t="shared" si="5"/>
        <v>0</v>
      </c>
      <c r="M171" s="134"/>
      <c r="N171" s="46"/>
      <c r="O171" s="131"/>
      <c r="P171" s="45"/>
      <c r="Q171" s="80"/>
    </row>
    <row r="172" spans="1:17" s="36" customFormat="1" ht="32.25" hidden="1" customHeight="1">
      <c r="A172" s="100">
        <v>164</v>
      </c>
      <c r="B172" s="239"/>
      <c r="C172" s="257"/>
      <c r="D172" s="52"/>
      <c r="E172" s="49"/>
      <c r="F172" s="51"/>
      <c r="G172" s="112">
        <f t="shared" si="4"/>
        <v>0</v>
      </c>
      <c r="H172" s="50"/>
      <c r="I172" s="49"/>
      <c r="J172" s="48"/>
      <c r="K172" s="47"/>
      <c r="L172" s="112">
        <f t="shared" si="5"/>
        <v>0</v>
      </c>
      <c r="M172" s="134"/>
      <c r="N172" s="46"/>
      <c r="O172" s="131"/>
      <c r="P172" s="45"/>
      <c r="Q172" s="80"/>
    </row>
    <row r="173" spans="1:17" s="36" customFormat="1" ht="32.25" hidden="1" customHeight="1">
      <c r="A173" s="100">
        <v>165</v>
      </c>
      <c r="B173" s="239"/>
      <c r="C173" s="257"/>
      <c r="D173" s="52"/>
      <c r="E173" s="49"/>
      <c r="F173" s="51"/>
      <c r="G173" s="112">
        <f t="shared" si="4"/>
        <v>0</v>
      </c>
      <c r="H173" s="50"/>
      <c r="I173" s="49"/>
      <c r="J173" s="48"/>
      <c r="K173" s="47"/>
      <c r="L173" s="112">
        <f t="shared" si="5"/>
        <v>0</v>
      </c>
      <c r="M173" s="134"/>
      <c r="N173" s="46"/>
      <c r="O173" s="131"/>
      <c r="P173" s="45"/>
      <c r="Q173" s="80"/>
    </row>
    <row r="174" spans="1:17" s="36" customFormat="1" ht="32.25" hidden="1" customHeight="1">
      <c r="A174" s="100">
        <v>166</v>
      </c>
      <c r="B174" s="239"/>
      <c r="C174" s="257"/>
      <c r="D174" s="52"/>
      <c r="E174" s="49"/>
      <c r="F174" s="51"/>
      <c r="G174" s="112">
        <f t="shared" si="4"/>
        <v>0</v>
      </c>
      <c r="H174" s="50"/>
      <c r="I174" s="49"/>
      <c r="J174" s="48"/>
      <c r="K174" s="47"/>
      <c r="L174" s="112">
        <f t="shared" si="5"/>
        <v>0</v>
      </c>
      <c r="M174" s="134"/>
      <c r="N174" s="46"/>
      <c r="O174" s="131"/>
      <c r="P174" s="45"/>
      <c r="Q174" s="80"/>
    </row>
    <row r="175" spans="1:17" s="36" customFormat="1" ht="32.25" hidden="1" customHeight="1">
      <c r="A175" s="100">
        <v>167</v>
      </c>
      <c r="B175" s="239"/>
      <c r="C175" s="257"/>
      <c r="D175" s="52"/>
      <c r="E175" s="49"/>
      <c r="F175" s="51"/>
      <c r="G175" s="112">
        <f t="shared" si="4"/>
        <v>0</v>
      </c>
      <c r="H175" s="50"/>
      <c r="I175" s="49"/>
      <c r="J175" s="48"/>
      <c r="K175" s="47"/>
      <c r="L175" s="112">
        <f t="shared" si="5"/>
        <v>0</v>
      </c>
      <c r="M175" s="134"/>
      <c r="N175" s="46"/>
      <c r="O175" s="131"/>
      <c r="P175" s="45"/>
      <c r="Q175" s="80"/>
    </row>
    <row r="176" spans="1:17" s="36" customFormat="1" ht="32.25" hidden="1" customHeight="1">
      <c r="A176" s="100">
        <v>168</v>
      </c>
      <c r="B176" s="239"/>
      <c r="C176" s="257"/>
      <c r="D176" s="52"/>
      <c r="E176" s="49"/>
      <c r="F176" s="51"/>
      <c r="G176" s="112">
        <f t="shared" si="4"/>
        <v>0</v>
      </c>
      <c r="H176" s="50"/>
      <c r="I176" s="49"/>
      <c r="J176" s="48"/>
      <c r="K176" s="47"/>
      <c r="L176" s="112">
        <f t="shared" si="5"/>
        <v>0</v>
      </c>
      <c r="M176" s="134"/>
      <c r="N176" s="46"/>
      <c r="O176" s="131"/>
      <c r="P176" s="45"/>
      <c r="Q176" s="80"/>
    </row>
    <row r="177" spans="1:17" s="36" customFormat="1" ht="32.25" hidden="1" customHeight="1">
      <c r="A177" s="100">
        <v>169</v>
      </c>
      <c r="B177" s="239"/>
      <c r="C177" s="257"/>
      <c r="D177" s="52"/>
      <c r="E177" s="49"/>
      <c r="F177" s="51"/>
      <c r="G177" s="112">
        <f t="shared" si="4"/>
        <v>0</v>
      </c>
      <c r="H177" s="50"/>
      <c r="I177" s="49"/>
      <c r="J177" s="48"/>
      <c r="K177" s="47"/>
      <c r="L177" s="112">
        <f t="shared" si="5"/>
        <v>0</v>
      </c>
      <c r="M177" s="134"/>
      <c r="N177" s="46"/>
      <c r="O177" s="131"/>
      <c r="P177" s="45"/>
      <c r="Q177" s="80"/>
    </row>
    <row r="178" spans="1:17" s="36" customFormat="1" ht="32.25" hidden="1" customHeight="1">
      <c r="A178" s="100">
        <v>170</v>
      </c>
      <c r="B178" s="239"/>
      <c r="C178" s="257"/>
      <c r="D178" s="52"/>
      <c r="E178" s="49"/>
      <c r="F178" s="51"/>
      <c r="G178" s="112">
        <f t="shared" si="4"/>
        <v>0</v>
      </c>
      <c r="H178" s="50"/>
      <c r="I178" s="49"/>
      <c r="J178" s="48"/>
      <c r="K178" s="47"/>
      <c r="L178" s="112">
        <f t="shared" si="5"/>
        <v>0</v>
      </c>
      <c r="M178" s="134"/>
      <c r="N178" s="46"/>
      <c r="O178" s="131"/>
      <c r="P178" s="45"/>
      <c r="Q178" s="80"/>
    </row>
    <row r="179" spans="1:17" s="36" customFormat="1" ht="32.25" hidden="1" customHeight="1">
      <c r="A179" s="100">
        <v>171</v>
      </c>
      <c r="B179" s="239"/>
      <c r="C179" s="257"/>
      <c r="D179" s="52"/>
      <c r="E179" s="49"/>
      <c r="F179" s="51"/>
      <c r="G179" s="112">
        <f t="shared" si="4"/>
        <v>0</v>
      </c>
      <c r="H179" s="50"/>
      <c r="I179" s="49"/>
      <c r="J179" s="48"/>
      <c r="K179" s="47"/>
      <c r="L179" s="112">
        <f t="shared" si="5"/>
        <v>0</v>
      </c>
      <c r="M179" s="134"/>
      <c r="N179" s="46"/>
      <c r="O179" s="131"/>
      <c r="P179" s="45"/>
      <c r="Q179" s="80"/>
    </row>
    <row r="180" spans="1:17" s="36" customFormat="1" ht="32.25" hidden="1" customHeight="1">
      <c r="A180" s="100">
        <v>172</v>
      </c>
      <c r="B180" s="239"/>
      <c r="C180" s="257"/>
      <c r="D180" s="52"/>
      <c r="E180" s="49"/>
      <c r="F180" s="51"/>
      <c r="G180" s="112">
        <f t="shared" si="4"/>
        <v>0</v>
      </c>
      <c r="H180" s="50"/>
      <c r="I180" s="49"/>
      <c r="J180" s="48"/>
      <c r="K180" s="47"/>
      <c r="L180" s="112">
        <f t="shared" si="5"/>
        <v>0</v>
      </c>
      <c r="M180" s="134"/>
      <c r="N180" s="46"/>
      <c r="O180" s="131"/>
      <c r="P180" s="45"/>
      <c r="Q180" s="80"/>
    </row>
    <row r="181" spans="1:17" s="36" customFormat="1" ht="32.25" hidden="1" customHeight="1">
      <c r="A181" s="100">
        <v>173</v>
      </c>
      <c r="B181" s="239"/>
      <c r="C181" s="257"/>
      <c r="D181" s="52"/>
      <c r="E181" s="49"/>
      <c r="F181" s="51"/>
      <c r="G181" s="112">
        <f t="shared" si="4"/>
        <v>0</v>
      </c>
      <c r="H181" s="50"/>
      <c r="I181" s="49"/>
      <c r="J181" s="48"/>
      <c r="K181" s="47"/>
      <c r="L181" s="112">
        <f t="shared" si="5"/>
        <v>0</v>
      </c>
      <c r="M181" s="134"/>
      <c r="N181" s="46"/>
      <c r="O181" s="131"/>
      <c r="P181" s="45"/>
      <c r="Q181" s="80"/>
    </row>
    <row r="182" spans="1:17" s="36" customFormat="1" ht="32.25" hidden="1" customHeight="1">
      <c r="A182" s="100">
        <v>174</v>
      </c>
      <c r="B182" s="239"/>
      <c r="C182" s="257"/>
      <c r="D182" s="52"/>
      <c r="E182" s="49"/>
      <c r="F182" s="51"/>
      <c r="G182" s="112">
        <f t="shared" si="4"/>
        <v>0</v>
      </c>
      <c r="H182" s="50"/>
      <c r="I182" s="49"/>
      <c r="J182" s="48"/>
      <c r="K182" s="47"/>
      <c r="L182" s="112">
        <f t="shared" si="5"/>
        <v>0</v>
      </c>
      <c r="M182" s="134"/>
      <c r="N182" s="46"/>
      <c r="O182" s="131"/>
      <c r="P182" s="45"/>
      <c r="Q182" s="80"/>
    </row>
    <row r="183" spans="1:17" s="36" customFormat="1" ht="32.25" hidden="1" customHeight="1">
      <c r="A183" s="100">
        <v>175</v>
      </c>
      <c r="B183" s="239"/>
      <c r="C183" s="257"/>
      <c r="D183" s="52"/>
      <c r="E183" s="49"/>
      <c r="F183" s="51"/>
      <c r="G183" s="112">
        <f t="shared" si="4"/>
        <v>0</v>
      </c>
      <c r="H183" s="50"/>
      <c r="I183" s="49"/>
      <c r="J183" s="48"/>
      <c r="K183" s="47"/>
      <c r="L183" s="112">
        <f t="shared" si="5"/>
        <v>0</v>
      </c>
      <c r="M183" s="134"/>
      <c r="N183" s="46"/>
      <c r="O183" s="131"/>
      <c r="P183" s="45"/>
      <c r="Q183" s="80"/>
    </row>
    <row r="184" spans="1:17" s="36" customFormat="1" ht="32.25" hidden="1" customHeight="1">
      <c r="A184" s="100">
        <v>176</v>
      </c>
      <c r="B184" s="239"/>
      <c r="C184" s="257"/>
      <c r="D184" s="52"/>
      <c r="E184" s="49"/>
      <c r="F184" s="51"/>
      <c r="G184" s="112">
        <f t="shared" si="4"/>
        <v>0</v>
      </c>
      <c r="H184" s="50"/>
      <c r="I184" s="49"/>
      <c r="J184" s="48"/>
      <c r="K184" s="47"/>
      <c r="L184" s="112">
        <f t="shared" si="5"/>
        <v>0</v>
      </c>
      <c r="M184" s="134"/>
      <c r="N184" s="46"/>
      <c r="O184" s="131"/>
      <c r="P184" s="45"/>
      <c r="Q184" s="80"/>
    </row>
    <row r="185" spans="1:17" s="36" customFormat="1" ht="32.25" hidden="1" customHeight="1">
      <c r="A185" s="100">
        <v>177</v>
      </c>
      <c r="B185" s="239"/>
      <c r="C185" s="257"/>
      <c r="D185" s="52"/>
      <c r="E185" s="49"/>
      <c r="F185" s="51"/>
      <c r="G185" s="112">
        <f t="shared" si="4"/>
        <v>0</v>
      </c>
      <c r="H185" s="50"/>
      <c r="I185" s="49"/>
      <c r="J185" s="48"/>
      <c r="K185" s="47"/>
      <c r="L185" s="112">
        <f t="shared" si="5"/>
        <v>0</v>
      </c>
      <c r="M185" s="134"/>
      <c r="N185" s="46"/>
      <c r="O185" s="131"/>
      <c r="P185" s="45"/>
      <c r="Q185" s="80"/>
    </row>
    <row r="186" spans="1:17" s="36" customFormat="1" ht="32.25" hidden="1" customHeight="1">
      <c r="A186" s="100">
        <v>178</v>
      </c>
      <c r="B186" s="239"/>
      <c r="C186" s="257"/>
      <c r="D186" s="52"/>
      <c r="E186" s="49"/>
      <c r="F186" s="51"/>
      <c r="G186" s="112">
        <f t="shared" si="4"/>
        <v>0</v>
      </c>
      <c r="H186" s="50"/>
      <c r="I186" s="49"/>
      <c r="J186" s="48"/>
      <c r="K186" s="47"/>
      <c r="L186" s="112">
        <f t="shared" si="5"/>
        <v>0</v>
      </c>
      <c r="M186" s="134"/>
      <c r="N186" s="46"/>
      <c r="O186" s="131"/>
      <c r="P186" s="45"/>
      <c r="Q186" s="80"/>
    </row>
    <row r="187" spans="1:17" s="36" customFormat="1" ht="32.25" hidden="1" customHeight="1">
      <c r="A187" s="100">
        <v>179</v>
      </c>
      <c r="B187" s="239"/>
      <c r="C187" s="257"/>
      <c r="D187" s="52"/>
      <c r="E187" s="49"/>
      <c r="F187" s="51"/>
      <c r="G187" s="112">
        <f t="shared" si="4"/>
        <v>0</v>
      </c>
      <c r="H187" s="50"/>
      <c r="I187" s="49"/>
      <c r="J187" s="48"/>
      <c r="K187" s="47"/>
      <c r="L187" s="112">
        <f t="shared" si="5"/>
        <v>0</v>
      </c>
      <c r="M187" s="134"/>
      <c r="N187" s="46"/>
      <c r="O187" s="131"/>
      <c r="P187" s="45"/>
      <c r="Q187" s="80"/>
    </row>
    <row r="188" spans="1:17" s="36" customFormat="1" ht="32.25" hidden="1" customHeight="1">
      <c r="A188" s="100">
        <v>180</v>
      </c>
      <c r="B188" s="239"/>
      <c r="C188" s="257"/>
      <c r="D188" s="52"/>
      <c r="E188" s="49"/>
      <c r="F188" s="51"/>
      <c r="G188" s="112">
        <f t="shared" si="4"/>
        <v>0</v>
      </c>
      <c r="H188" s="50"/>
      <c r="I188" s="49"/>
      <c r="J188" s="48"/>
      <c r="K188" s="47"/>
      <c r="L188" s="112">
        <f t="shared" si="5"/>
        <v>0</v>
      </c>
      <c r="M188" s="134"/>
      <c r="N188" s="46"/>
      <c r="O188" s="131"/>
      <c r="P188" s="45"/>
      <c r="Q188" s="80"/>
    </row>
    <row r="189" spans="1:17" s="36" customFormat="1" ht="32.25" hidden="1" customHeight="1">
      <c r="A189" s="100">
        <v>181</v>
      </c>
      <c r="B189" s="239"/>
      <c r="C189" s="257"/>
      <c r="D189" s="52"/>
      <c r="E189" s="49"/>
      <c r="F189" s="51"/>
      <c r="G189" s="112">
        <f t="shared" si="4"/>
        <v>0</v>
      </c>
      <c r="H189" s="50"/>
      <c r="I189" s="49"/>
      <c r="J189" s="48"/>
      <c r="K189" s="47"/>
      <c r="L189" s="112">
        <f t="shared" si="5"/>
        <v>0</v>
      </c>
      <c r="M189" s="134"/>
      <c r="N189" s="46"/>
      <c r="O189" s="131"/>
      <c r="P189" s="45"/>
      <c r="Q189" s="80"/>
    </row>
    <row r="190" spans="1:17" s="36" customFormat="1" ht="32.25" hidden="1" customHeight="1">
      <c r="A190" s="100">
        <v>182</v>
      </c>
      <c r="B190" s="239"/>
      <c r="C190" s="257"/>
      <c r="D190" s="52"/>
      <c r="E190" s="49"/>
      <c r="F190" s="51"/>
      <c r="G190" s="112">
        <f t="shared" si="4"/>
        <v>0</v>
      </c>
      <c r="H190" s="50"/>
      <c r="I190" s="49"/>
      <c r="J190" s="48"/>
      <c r="K190" s="47"/>
      <c r="L190" s="112">
        <f t="shared" si="5"/>
        <v>0</v>
      </c>
      <c r="M190" s="134"/>
      <c r="N190" s="46"/>
      <c r="O190" s="131"/>
      <c r="P190" s="45"/>
      <c r="Q190" s="80"/>
    </row>
    <row r="191" spans="1:17" s="36" customFormat="1" ht="32.25" hidden="1" customHeight="1">
      <c r="A191" s="100">
        <v>183</v>
      </c>
      <c r="B191" s="239"/>
      <c r="C191" s="257"/>
      <c r="D191" s="52"/>
      <c r="E191" s="49"/>
      <c r="F191" s="51"/>
      <c r="G191" s="112">
        <f t="shared" si="4"/>
        <v>0</v>
      </c>
      <c r="H191" s="50"/>
      <c r="I191" s="49"/>
      <c r="J191" s="48"/>
      <c r="K191" s="47"/>
      <c r="L191" s="112">
        <f t="shared" si="5"/>
        <v>0</v>
      </c>
      <c r="M191" s="134"/>
      <c r="N191" s="46"/>
      <c r="O191" s="131"/>
      <c r="P191" s="45"/>
      <c r="Q191" s="80"/>
    </row>
    <row r="192" spans="1:17" s="36" customFormat="1" ht="32.25" hidden="1" customHeight="1">
      <c r="A192" s="100">
        <v>184</v>
      </c>
      <c r="B192" s="239"/>
      <c r="C192" s="257"/>
      <c r="D192" s="52"/>
      <c r="E192" s="49"/>
      <c r="F192" s="51"/>
      <c r="G192" s="112">
        <f t="shared" si="4"/>
        <v>0</v>
      </c>
      <c r="H192" s="50"/>
      <c r="I192" s="49"/>
      <c r="J192" s="48"/>
      <c r="K192" s="47"/>
      <c r="L192" s="112">
        <f t="shared" si="5"/>
        <v>0</v>
      </c>
      <c r="M192" s="134"/>
      <c r="N192" s="46"/>
      <c r="O192" s="131"/>
      <c r="P192" s="45"/>
      <c r="Q192" s="80"/>
    </row>
    <row r="193" spans="1:17" s="36" customFormat="1" ht="32.25" hidden="1" customHeight="1">
      <c r="A193" s="100">
        <v>185</v>
      </c>
      <c r="B193" s="239"/>
      <c r="C193" s="257"/>
      <c r="D193" s="52"/>
      <c r="E193" s="49"/>
      <c r="F193" s="51"/>
      <c r="G193" s="112">
        <f t="shared" si="4"/>
        <v>0</v>
      </c>
      <c r="H193" s="50"/>
      <c r="I193" s="49"/>
      <c r="J193" s="48"/>
      <c r="K193" s="47"/>
      <c r="L193" s="112">
        <f t="shared" si="5"/>
        <v>0</v>
      </c>
      <c r="M193" s="134"/>
      <c r="N193" s="46"/>
      <c r="O193" s="131"/>
      <c r="P193" s="45"/>
      <c r="Q193" s="80"/>
    </row>
    <row r="194" spans="1:17" s="36" customFormat="1" ht="32.25" hidden="1" customHeight="1">
      <c r="A194" s="100">
        <v>186</v>
      </c>
      <c r="B194" s="239"/>
      <c r="C194" s="257"/>
      <c r="D194" s="52"/>
      <c r="E194" s="49"/>
      <c r="F194" s="51"/>
      <c r="G194" s="112">
        <f t="shared" si="4"/>
        <v>0</v>
      </c>
      <c r="H194" s="50"/>
      <c r="I194" s="49"/>
      <c r="J194" s="48"/>
      <c r="K194" s="47"/>
      <c r="L194" s="112">
        <f t="shared" si="5"/>
        <v>0</v>
      </c>
      <c r="M194" s="134"/>
      <c r="N194" s="46"/>
      <c r="O194" s="131"/>
      <c r="P194" s="45"/>
      <c r="Q194" s="80"/>
    </row>
    <row r="195" spans="1:17" s="36" customFormat="1" ht="32.25" hidden="1" customHeight="1">
      <c r="A195" s="100">
        <v>187</v>
      </c>
      <c r="B195" s="239"/>
      <c r="C195" s="257"/>
      <c r="D195" s="52"/>
      <c r="E195" s="49"/>
      <c r="F195" s="51"/>
      <c r="G195" s="112">
        <f t="shared" si="4"/>
        <v>0</v>
      </c>
      <c r="H195" s="50"/>
      <c r="I195" s="49"/>
      <c r="J195" s="48"/>
      <c r="K195" s="47"/>
      <c r="L195" s="112">
        <f t="shared" si="5"/>
        <v>0</v>
      </c>
      <c r="M195" s="134"/>
      <c r="N195" s="46"/>
      <c r="O195" s="131"/>
      <c r="P195" s="45"/>
      <c r="Q195" s="80"/>
    </row>
    <row r="196" spans="1:17" s="36" customFormat="1" ht="32.25" hidden="1" customHeight="1">
      <c r="A196" s="100">
        <v>188</v>
      </c>
      <c r="B196" s="239"/>
      <c r="C196" s="257"/>
      <c r="D196" s="52"/>
      <c r="E196" s="49"/>
      <c r="F196" s="51"/>
      <c r="G196" s="112">
        <f t="shared" si="4"/>
        <v>0</v>
      </c>
      <c r="H196" s="50"/>
      <c r="I196" s="49"/>
      <c r="J196" s="48"/>
      <c r="K196" s="47"/>
      <c r="L196" s="112">
        <f t="shared" si="5"/>
        <v>0</v>
      </c>
      <c r="M196" s="134"/>
      <c r="N196" s="46"/>
      <c r="O196" s="131"/>
      <c r="P196" s="45"/>
      <c r="Q196" s="80"/>
    </row>
    <row r="197" spans="1:17" s="36" customFormat="1" ht="32.25" hidden="1" customHeight="1">
      <c r="A197" s="100">
        <v>189</v>
      </c>
      <c r="B197" s="239"/>
      <c r="C197" s="257"/>
      <c r="D197" s="52"/>
      <c r="E197" s="49"/>
      <c r="F197" s="51"/>
      <c r="G197" s="112">
        <f t="shared" si="4"/>
        <v>0</v>
      </c>
      <c r="H197" s="50"/>
      <c r="I197" s="49"/>
      <c r="J197" s="48"/>
      <c r="K197" s="47"/>
      <c r="L197" s="112">
        <f t="shared" si="5"/>
        <v>0</v>
      </c>
      <c r="M197" s="134"/>
      <c r="N197" s="46"/>
      <c r="O197" s="131"/>
      <c r="P197" s="45"/>
      <c r="Q197" s="80"/>
    </row>
    <row r="198" spans="1:17" s="36" customFormat="1" ht="32.25" hidden="1" customHeight="1">
      <c r="A198" s="100">
        <v>190</v>
      </c>
      <c r="B198" s="239"/>
      <c r="C198" s="257"/>
      <c r="D198" s="52"/>
      <c r="E198" s="49"/>
      <c r="F198" s="51"/>
      <c r="G198" s="112">
        <f t="shared" si="4"/>
        <v>0</v>
      </c>
      <c r="H198" s="50"/>
      <c r="I198" s="49"/>
      <c r="J198" s="48"/>
      <c r="K198" s="47"/>
      <c r="L198" s="112">
        <f t="shared" si="5"/>
        <v>0</v>
      </c>
      <c r="M198" s="134"/>
      <c r="N198" s="46"/>
      <c r="O198" s="131"/>
      <c r="P198" s="45"/>
      <c r="Q198" s="80"/>
    </row>
    <row r="199" spans="1:17" s="36" customFormat="1" ht="32.25" hidden="1" customHeight="1">
      <c r="A199" s="100">
        <v>191</v>
      </c>
      <c r="B199" s="239"/>
      <c r="C199" s="257"/>
      <c r="D199" s="52"/>
      <c r="E199" s="49"/>
      <c r="F199" s="51"/>
      <c r="G199" s="112">
        <f t="shared" si="4"/>
        <v>0</v>
      </c>
      <c r="H199" s="50"/>
      <c r="I199" s="49"/>
      <c r="J199" s="48"/>
      <c r="K199" s="47"/>
      <c r="L199" s="112">
        <f t="shared" si="5"/>
        <v>0</v>
      </c>
      <c r="M199" s="134"/>
      <c r="N199" s="46"/>
      <c r="O199" s="131"/>
      <c r="P199" s="45"/>
      <c r="Q199" s="80"/>
    </row>
    <row r="200" spans="1:17" s="36" customFormat="1" ht="32.25" hidden="1" customHeight="1">
      <c r="A200" s="100">
        <v>192</v>
      </c>
      <c r="B200" s="239"/>
      <c r="C200" s="257"/>
      <c r="D200" s="52"/>
      <c r="E200" s="49"/>
      <c r="F200" s="51"/>
      <c r="G200" s="112">
        <f t="shared" si="4"/>
        <v>0</v>
      </c>
      <c r="H200" s="50"/>
      <c r="I200" s="49"/>
      <c r="J200" s="48"/>
      <c r="K200" s="47"/>
      <c r="L200" s="112">
        <f t="shared" si="5"/>
        <v>0</v>
      </c>
      <c r="M200" s="134"/>
      <c r="N200" s="46"/>
      <c r="O200" s="131"/>
      <c r="P200" s="45"/>
      <c r="Q200" s="80"/>
    </row>
    <row r="201" spans="1:17" s="36" customFormat="1" ht="32.25" hidden="1" customHeight="1">
      <c r="A201" s="100">
        <v>193</v>
      </c>
      <c r="B201" s="239"/>
      <c r="C201" s="257"/>
      <c r="D201" s="52"/>
      <c r="E201" s="49"/>
      <c r="F201" s="51"/>
      <c r="G201" s="112">
        <f t="shared" ref="G201:G453" si="6">E201+F201</f>
        <v>0</v>
      </c>
      <c r="H201" s="50"/>
      <c r="I201" s="49"/>
      <c r="J201" s="48"/>
      <c r="K201" s="47"/>
      <c r="L201" s="112">
        <f t="shared" ref="L201:L453" si="7">G201-H201-I201-K201</f>
        <v>0</v>
      </c>
      <c r="M201" s="134"/>
      <c r="N201" s="46"/>
      <c r="O201" s="131"/>
      <c r="P201" s="45"/>
      <c r="Q201" s="80"/>
    </row>
    <row r="202" spans="1:17" s="36" customFormat="1" ht="32.25" hidden="1" customHeight="1">
      <c r="A202" s="100">
        <v>194</v>
      </c>
      <c r="B202" s="239"/>
      <c r="C202" s="257"/>
      <c r="D202" s="52"/>
      <c r="E202" s="49"/>
      <c r="F202" s="51"/>
      <c r="G202" s="112">
        <f t="shared" si="6"/>
        <v>0</v>
      </c>
      <c r="H202" s="50"/>
      <c r="I202" s="49"/>
      <c r="J202" s="48"/>
      <c r="K202" s="47"/>
      <c r="L202" s="112">
        <f t="shared" si="7"/>
        <v>0</v>
      </c>
      <c r="M202" s="134"/>
      <c r="N202" s="46"/>
      <c r="O202" s="131"/>
      <c r="P202" s="45"/>
      <c r="Q202" s="80"/>
    </row>
    <row r="203" spans="1:17" s="36" customFormat="1" ht="32.25" hidden="1" customHeight="1">
      <c r="A203" s="100">
        <v>195</v>
      </c>
      <c r="B203" s="239"/>
      <c r="C203" s="257"/>
      <c r="D203" s="52"/>
      <c r="E203" s="49"/>
      <c r="F203" s="51"/>
      <c r="G203" s="112">
        <f t="shared" si="6"/>
        <v>0</v>
      </c>
      <c r="H203" s="50"/>
      <c r="I203" s="49"/>
      <c r="J203" s="48"/>
      <c r="K203" s="47"/>
      <c r="L203" s="112">
        <f t="shared" si="7"/>
        <v>0</v>
      </c>
      <c r="M203" s="134"/>
      <c r="N203" s="46"/>
      <c r="O203" s="131"/>
      <c r="P203" s="45"/>
      <c r="Q203" s="80"/>
    </row>
    <row r="204" spans="1:17" s="36" customFormat="1" ht="32.25" hidden="1" customHeight="1">
      <c r="A204" s="100">
        <v>196</v>
      </c>
      <c r="B204" s="239"/>
      <c r="C204" s="257"/>
      <c r="D204" s="52"/>
      <c r="E204" s="49"/>
      <c r="F204" s="51"/>
      <c r="G204" s="112">
        <f t="shared" si="6"/>
        <v>0</v>
      </c>
      <c r="H204" s="50"/>
      <c r="I204" s="49"/>
      <c r="J204" s="48"/>
      <c r="K204" s="47"/>
      <c r="L204" s="112">
        <f t="shared" si="7"/>
        <v>0</v>
      </c>
      <c r="M204" s="134"/>
      <c r="N204" s="46"/>
      <c r="O204" s="131"/>
      <c r="P204" s="45"/>
      <c r="Q204" s="80"/>
    </row>
    <row r="205" spans="1:17" s="36" customFormat="1" ht="32.25" hidden="1" customHeight="1">
      <c r="A205" s="100">
        <v>197</v>
      </c>
      <c r="B205" s="239"/>
      <c r="C205" s="257"/>
      <c r="D205" s="52"/>
      <c r="E205" s="49"/>
      <c r="F205" s="51"/>
      <c r="G205" s="112">
        <f t="shared" si="6"/>
        <v>0</v>
      </c>
      <c r="H205" s="50"/>
      <c r="I205" s="49"/>
      <c r="J205" s="48"/>
      <c r="K205" s="47"/>
      <c r="L205" s="112">
        <f t="shared" si="7"/>
        <v>0</v>
      </c>
      <c r="M205" s="134"/>
      <c r="N205" s="46"/>
      <c r="O205" s="131"/>
      <c r="P205" s="45"/>
      <c r="Q205" s="80"/>
    </row>
    <row r="206" spans="1:17" s="36" customFormat="1" ht="32.25" hidden="1" customHeight="1">
      <c r="A206" s="100">
        <v>198</v>
      </c>
      <c r="B206" s="239"/>
      <c r="C206" s="257"/>
      <c r="D206" s="52"/>
      <c r="E206" s="49"/>
      <c r="F206" s="51"/>
      <c r="G206" s="112">
        <f t="shared" si="6"/>
        <v>0</v>
      </c>
      <c r="H206" s="50"/>
      <c r="I206" s="49"/>
      <c r="J206" s="48"/>
      <c r="K206" s="47"/>
      <c r="L206" s="112">
        <f t="shared" si="7"/>
        <v>0</v>
      </c>
      <c r="M206" s="134"/>
      <c r="N206" s="46"/>
      <c r="O206" s="131"/>
      <c r="P206" s="45"/>
      <c r="Q206" s="80"/>
    </row>
    <row r="207" spans="1:17" s="36" customFormat="1" ht="32.25" hidden="1" customHeight="1">
      <c r="A207" s="100">
        <v>199</v>
      </c>
      <c r="B207" s="239"/>
      <c r="C207" s="257"/>
      <c r="D207" s="52"/>
      <c r="E207" s="49"/>
      <c r="F207" s="51"/>
      <c r="G207" s="112">
        <f t="shared" si="6"/>
        <v>0</v>
      </c>
      <c r="H207" s="50"/>
      <c r="I207" s="49"/>
      <c r="J207" s="48"/>
      <c r="K207" s="47"/>
      <c r="L207" s="112">
        <f t="shared" si="7"/>
        <v>0</v>
      </c>
      <c r="M207" s="134"/>
      <c r="N207" s="46"/>
      <c r="O207" s="131"/>
      <c r="P207" s="45"/>
      <c r="Q207" s="80"/>
    </row>
    <row r="208" spans="1:17" s="36" customFormat="1" ht="32.25" hidden="1" customHeight="1">
      <c r="A208" s="100">
        <v>200</v>
      </c>
      <c r="B208" s="239"/>
      <c r="C208" s="257"/>
      <c r="D208" s="52"/>
      <c r="E208" s="49"/>
      <c r="F208" s="51"/>
      <c r="G208" s="112">
        <f t="shared" si="6"/>
        <v>0</v>
      </c>
      <c r="H208" s="50"/>
      <c r="I208" s="49"/>
      <c r="J208" s="48"/>
      <c r="K208" s="47"/>
      <c r="L208" s="112">
        <f t="shared" si="7"/>
        <v>0</v>
      </c>
      <c r="M208" s="134"/>
      <c r="N208" s="46"/>
      <c r="O208" s="131"/>
      <c r="P208" s="45"/>
      <c r="Q208" s="80"/>
    </row>
    <row r="209" spans="1:17" s="36" customFormat="1" ht="32.25" hidden="1" customHeight="1">
      <c r="A209" s="100">
        <v>201</v>
      </c>
      <c r="B209" s="239"/>
      <c r="C209" s="257"/>
      <c r="D209" s="52"/>
      <c r="E209" s="49"/>
      <c r="F209" s="51"/>
      <c r="G209" s="112">
        <f t="shared" si="6"/>
        <v>0</v>
      </c>
      <c r="H209" s="50"/>
      <c r="I209" s="49"/>
      <c r="J209" s="48"/>
      <c r="K209" s="47"/>
      <c r="L209" s="112">
        <f t="shared" si="7"/>
        <v>0</v>
      </c>
      <c r="M209" s="134"/>
      <c r="N209" s="46"/>
      <c r="O209" s="131"/>
      <c r="P209" s="45"/>
      <c r="Q209" s="80"/>
    </row>
    <row r="210" spans="1:17" s="36" customFormat="1" ht="32.25" hidden="1" customHeight="1">
      <c r="A210" s="100">
        <v>202</v>
      </c>
      <c r="B210" s="239"/>
      <c r="C210" s="257"/>
      <c r="D210" s="52"/>
      <c r="E210" s="49"/>
      <c r="F210" s="51"/>
      <c r="G210" s="112">
        <f t="shared" si="6"/>
        <v>0</v>
      </c>
      <c r="H210" s="50"/>
      <c r="I210" s="49"/>
      <c r="J210" s="48"/>
      <c r="K210" s="47"/>
      <c r="L210" s="112">
        <f t="shared" si="7"/>
        <v>0</v>
      </c>
      <c r="M210" s="134"/>
      <c r="N210" s="46"/>
      <c r="O210" s="131"/>
      <c r="P210" s="45"/>
      <c r="Q210" s="80"/>
    </row>
    <row r="211" spans="1:17" s="36" customFormat="1" ht="32.25" hidden="1" customHeight="1">
      <c r="A211" s="100">
        <v>203</v>
      </c>
      <c r="B211" s="239"/>
      <c r="C211" s="257"/>
      <c r="D211" s="52"/>
      <c r="E211" s="49"/>
      <c r="F211" s="51"/>
      <c r="G211" s="112">
        <f t="shared" si="6"/>
        <v>0</v>
      </c>
      <c r="H211" s="50"/>
      <c r="I211" s="49"/>
      <c r="J211" s="48"/>
      <c r="K211" s="47"/>
      <c r="L211" s="112">
        <f t="shared" si="7"/>
        <v>0</v>
      </c>
      <c r="M211" s="134"/>
      <c r="N211" s="46"/>
      <c r="O211" s="131"/>
      <c r="P211" s="45"/>
      <c r="Q211" s="80"/>
    </row>
    <row r="212" spans="1:17" s="36" customFormat="1" ht="32.25" hidden="1" customHeight="1">
      <c r="A212" s="100">
        <v>204</v>
      </c>
      <c r="B212" s="239"/>
      <c r="C212" s="257"/>
      <c r="D212" s="52"/>
      <c r="E212" s="49"/>
      <c r="F212" s="51"/>
      <c r="G212" s="112">
        <f t="shared" si="6"/>
        <v>0</v>
      </c>
      <c r="H212" s="50"/>
      <c r="I212" s="49"/>
      <c r="J212" s="48"/>
      <c r="K212" s="47"/>
      <c r="L212" s="112">
        <f t="shared" si="7"/>
        <v>0</v>
      </c>
      <c r="M212" s="134"/>
      <c r="N212" s="46"/>
      <c r="O212" s="131"/>
      <c r="P212" s="45"/>
      <c r="Q212" s="80"/>
    </row>
    <row r="213" spans="1:17" s="36" customFormat="1" ht="32.25" hidden="1" customHeight="1">
      <c r="A213" s="100">
        <v>205</v>
      </c>
      <c r="B213" s="239"/>
      <c r="C213" s="257"/>
      <c r="D213" s="52"/>
      <c r="E213" s="49"/>
      <c r="F213" s="51"/>
      <c r="G213" s="112">
        <f t="shared" si="6"/>
        <v>0</v>
      </c>
      <c r="H213" s="50"/>
      <c r="I213" s="49"/>
      <c r="J213" s="48"/>
      <c r="K213" s="47"/>
      <c r="L213" s="112">
        <f t="shared" si="7"/>
        <v>0</v>
      </c>
      <c r="M213" s="134"/>
      <c r="N213" s="46"/>
      <c r="O213" s="131"/>
      <c r="P213" s="45"/>
      <c r="Q213" s="80"/>
    </row>
    <row r="214" spans="1:17" s="36" customFormat="1" ht="32.25" hidden="1" customHeight="1">
      <c r="A214" s="100">
        <v>206</v>
      </c>
      <c r="B214" s="239"/>
      <c r="C214" s="257"/>
      <c r="D214" s="52"/>
      <c r="E214" s="49"/>
      <c r="F214" s="51"/>
      <c r="G214" s="112">
        <f t="shared" si="6"/>
        <v>0</v>
      </c>
      <c r="H214" s="50"/>
      <c r="I214" s="49"/>
      <c r="J214" s="48"/>
      <c r="K214" s="47"/>
      <c r="L214" s="112">
        <f t="shared" si="7"/>
        <v>0</v>
      </c>
      <c r="M214" s="134"/>
      <c r="N214" s="46"/>
      <c r="O214" s="131"/>
      <c r="P214" s="45"/>
      <c r="Q214" s="80"/>
    </row>
    <row r="215" spans="1:17" s="36" customFormat="1" ht="32.25" hidden="1" customHeight="1">
      <c r="A215" s="100">
        <v>207</v>
      </c>
      <c r="B215" s="239"/>
      <c r="C215" s="257"/>
      <c r="D215" s="52"/>
      <c r="E215" s="49"/>
      <c r="F215" s="51"/>
      <c r="G215" s="112">
        <f t="shared" si="6"/>
        <v>0</v>
      </c>
      <c r="H215" s="50"/>
      <c r="I215" s="49"/>
      <c r="J215" s="48"/>
      <c r="K215" s="47"/>
      <c r="L215" s="112">
        <f t="shared" si="7"/>
        <v>0</v>
      </c>
      <c r="M215" s="134"/>
      <c r="N215" s="46"/>
      <c r="O215" s="131"/>
      <c r="P215" s="45"/>
      <c r="Q215" s="80"/>
    </row>
    <row r="216" spans="1:17" s="36" customFormat="1" ht="32.25" hidden="1" customHeight="1">
      <c r="A216" s="100">
        <v>208</v>
      </c>
      <c r="B216" s="239"/>
      <c r="C216" s="257"/>
      <c r="D216" s="52"/>
      <c r="E216" s="49"/>
      <c r="F216" s="51"/>
      <c r="G216" s="112">
        <f t="shared" si="6"/>
        <v>0</v>
      </c>
      <c r="H216" s="50"/>
      <c r="I216" s="49"/>
      <c r="J216" s="48"/>
      <c r="K216" s="47"/>
      <c r="L216" s="112">
        <f t="shared" si="7"/>
        <v>0</v>
      </c>
      <c r="M216" s="134"/>
      <c r="N216" s="46"/>
      <c r="O216" s="131"/>
      <c r="P216" s="45"/>
      <c r="Q216" s="80"/>
    </row>
    <row r="217" spans="1:17" s="36" customFormat="1" ht="32.25" hidden="1" customHeight="1">
      <c r="A217" s="100">
        <v>209</v>
      </c>
      <c r="B217" s="239"/>
      <c r="C217" s="257"/>
      <c r="D217" s="52"/>
      <c r="E217" s="49"/>
      <c r="F217" s="51"/>
      <c r="G217" s="112">
        <f t="shared" si="6"/>
        <v>0</v>
      </c>
      <c r="H217" s="50"/>
      <c r="I217" s="49"/>
      <c r="J217" s="48"/>
      <c r="K217" s="47"/>
      <c r="L217" s="112">
        <f t="shared" si="7"/>
        <v>0</v>
      </c>
      <c r="M217" s="134"/>
      <c r="N217" s="46"/>
      <c r="O217" s="131"/>
      <c r="P217" s="45"/>
      <c r="Q217" s="80"/>
    </row>
    <row r="218" spans="1:17" s="36" customFormat="1" ht="32.25" hidden="1" customHeight="1">
      <c r="A218" s="100">
        <v>210</v>
      </c>
      <c r="B218" s="239"/>
      <c r="C218" s="257"/>
      <c r="D218" s="52"/>
      <c r="E218" s="49"/>
      <c r="F218" s="51"/>
      <c r="G218" s="112">
        <f t="shared" si="6"/>
        <v>0</v>
      </c>
      <c r="H218" s="50"/>
      <c r="I218" s="49"/>
      <c r="J218" s="48"/>
      <c r="K218" s="47"/>
      <c r="L218" s="112">
        <f t="shared" si="7"/>
        <v>0</v>
      </c>
      <c r="M218" s="134"/>
      <c r="N218" s="46"/>
      <c r="O218" s="131"/>
      <c r="P218" s="45"/>
      <c r="Q218" s="80"/>
    </row>
    <row r="219" spans="1:17" s="36" customFormat="1" ht="32.25" hidden="1" customHeight="1">
      <c r="A219" s="100">
        <v>211</v>
      </c>
      <c r="B219" s="239"/>
      <c r="C219" s="257"/>
      <c r="D219" s="52"/>
      <c r="E219" s="49"/>
      <c r="F219" s="51"/>
      <c r="G219" s="112">
        <f t="shared" si="6"/>
        <v>0</v>
      </c>
      <c r="H219" s="50"/>
      <c r="I219" s="49"/>
      <c r="J219" s="48"/>
      <c r="K219" s="47"/>
      <c r="L219" s="112">
        <f t="shared" si="7"/>
        <v>0</v>
      </c>
      <c r="M219" s="134"/>
      <c r="N219" s="46"/>
      <c r="O219" s="131"/>
      <c r="P219" s="45"/>
      <c r="Q219" s="80"/>
    </row>
    <row r="220" spans="1:17" s="36" customFormat="1" ht="32.25" hidden="1" customHeight="1">
      <c r="A220" s="100">
        <v>212</v>
      </c>
      <c r="B220" s="239"/>
      <c r="C220" s="257"/>
      <c r="D220" s="52"/>
      <c r="E220" s="49"/>
      <c r="F220" s="51"/>
      <c r="G220" s="112">
        <f t="shared" si="6"/>
        <v>0</v>
      </c>
      <c r="H220" s="50"/>
      <c r="I220" s="49"/>
      <c r="J220" s="48"/>
      <c r="K220" s="47"/>
      <c r="L220" s="112">
        <f t="shared" si="7"/>
        <v>0</v>
      </c>
      <c r="M220" s="134"/>
      <c r="N220" s="46"/>
      <c r="O220" s="131"/>
      <c r="P220" s="45"/>
      <c r="Q220" s="80"/>
    </row>
    <row r="221" spans="1:17" s="36" customFormat="1" ht="32.25" hidden="1" customHeight="1">
      <c r="A221" s="100">
        <v>213</v>
      </c>
      <c r="B221" s="239"/>
      <c r="C221" s="257"/>
      <c r="D221" s="52"/>
      <c r="E221" s="49"/>
      <c r="F221" s="51"/>
      <c r="G221" s="112">
        <f t="shared" si="6"/>
        <v>0</v>
      </c>
      <c r="H221" s="50"/>
      <c r="I221" s="49"/>
      <c r="J221" s="48"/>
      <c r="K221" s="47"/>
      <c r="L221" s="112">
        <f t="shared" si="7"/>
        <v>0</v>
      </c>
      <c r="M221" s="134"/>
      <c r="N221" s="46"/>
      <c r="O221" s="131"/>
      <c r="P221" s="45"/>
      <c r="Q221" s="80"/>
    </row>
    <row r="222" spans="1:17" s="36" customFormat="1" ht="32.25" hidden="1" customHeight="1">
      <c r="A222" s="100">
        <v>214</v>
      </c>
      <c r="B222" s="239"/>
      <c r="C222" s="257"/>
      <c r="D222" s="52"/>
      <c r="E222" s="49"/>
      <c r="F222" s="51"/>
      <c r="G222" s="112">
        <f t="shared" si="6"/>
        <v>0</v>
      </c>
      <c r="H222" s="50"/>
      <c r="I222" s="49"/>
      <c r="J222" s="48"/>
      <c r="K222" s="47"/>
      <c r="L222" s="112">
        <f t="shared" si="7"/>
        <v>0</v>
      </c>
      <c r="M222" s="134"/>
      <c r="N222" s="46"/>
      <c r="O222" s="131"/>
      <c r="P222" s="45"/>
      <c r="Q222" s="80"/>
    </row>
    <row r="223" spans="1:17" s="36" customFormat="1" ht="32.25" hidden="1" customHeight="1">
      <c r="A223" s="100">
        <v>215</v>
      </c>
      <c r="B223" s="239"/>
      <c r="C223" s="257"/>
      <c r="D223" s="52"/>
      <c r="E223" s="49"/>
      <c r="F223" s="51"/>
      <c r="G223" s="112">
        <f t="shared" si="6"/>
        <v>0</v>
      </c>
      <c r="H223" s="50"/>
      <c r="I223" s="49"/>
      <c r="J223" s="48"/>
      <c r="K223" s="47"/>
      <c r="L223" s="112">
        <f t="shared" si="7"/>
        <v>0</v>
      </c>
      <c r="M223" s="134"/>
      <c r="N223" s="46"/>
      <c r="O223" s="131"/>
      <c r="P223" s="45"/>
      <c r="Q223" s="80"/>
    </row>
    <row r="224" spans="1:17" s="36" customFormat="1" ht="32.25" hidden="1" customHeight="1">
      <c r="A224" s="100">
        <v>216</v>
      </c>
      <c r="B224" s="239"/>
      <c r="C224" s="257"/>
      <c r="D224" s="52"/>
      <c r="E224" s="49"/>
      <c r="F224" s="51"/>
      <c r="G224" s="112">
        <f t="shared" si="6"/>
        <v>0</v>
      </c>
      <c r="H224" s="50"/>
      <c r="I224" s="49"/>
      <c r="J224" s="48"/>
      <c r="K224" s="47"/>
      <c r="L224" s="112">
        <f t="shared" si="7"/>
        <v>0</v>
      </c>
      <c r="M224" s="134"/>
      <c r="N224" s="46"/>
      <c r="O224" s="131"/>
      <c r="P224" s="45"/>
      <c r="Q224" s="80"/>
    </row>
    <row r="225" spans="1:17" s="36" customFormat="1" ht="32.25" hidden="1" customHeight="1">
      <c r="A225" s="100">
        <v>217</v>
      </c>
      <c r="B225" s="239"/>
      <c r="C225" s="257"/>
      <c r="D225" s="52"/>
      <c r="E225" s="49"/>
      <c r="F225" s="51"/>
      <c r="G225" s="112">
        <f t="shared" si="6"/>
        <v>0</v>
      </c>
      <c r="H225" s="50"/>
      <c r="I225" s="49"/>
      <c r="J225" s="48"/>
      <c r="K225" s="47"/>
      <c r="L225" s="112">
        <f t="shared" si="7"/>
        <v>0</v>
      </c>
      <c r="M225" s="134"/>
      <c r="N225" s="46"/>
      <c r="O225" s="131"/>
      <c r="P225" s="45"/>
      <c r="Q225" s="80"/>
    </row>
    <row r="226" spans="1:17" s="36" customFormat="1" ht="32.25" hidden="1" customHeight="1">
      <c r="A226" s="100">
        <v>218</v>
      </c>
      <c r="B226" s="239"/>
      <c r="C226" s="257"/>
      <c r="D226" s="52"/>
      <c r="E226" s="49"/>
      <c r="F226" s="51"/>
      <c r="G226" s="112">
        <f t="shared" si="6"/>
        <v>0</v>
      </c>
      <c r="H226" s="50"/>
      <c r="I226" s="49"/>
      <c r="J226" s="48"/>
      <c r="K226" s="47"/>
      <c r="L226" s="112">
        <f t="shared" si="7"/>
        <v>0</v>
      </c>
      <c r="M226" s="134"/>
      <c r="N226" s="46"/>
      <c r="O226" s="131"/>
      <c r="P226" s="45"/>
      <c r="Q226" s="80"/>
    </row>
    <row r="227" spans="1:17" s="36" customFormat="1" ht="32.25" hidden="1" customHeight="1">
      <c r="A227" s="100">
        <v>219</v>
      </c>
      <c r="B227" s="239"/>
      <c r="C227" s="257"/>
      <c r="D227" s="52"/>
      <c r="E227" s="49"/>
      <c r="F227" s="51"/>
      <c r="G227" s="112">
        <f t="shared" si="6"/>
        <v>0</v>
      </c>
      <c r="H227" s="50"/>
      <c r="I227" s="49"/>
      <c r="J227" s="48"/>
      <c r="K227" s="47"/>
      <c r="L227" s="112">
        <f t="shared" si="7"/>
        <v>0</v>
      </c>
      <c r="M227" s="134"/>
      <c r="N227" s="46"/>
      <c r="O227" s="131"/>
      <c r="P227" s="45"/>
      <c r="Q227" s="80"/>
    </row>
    <row r="228" spans="1:17" s="36" customFormat="1" ht="32.25" hidden="1" customHeight="1">
      <c r="A228" s="100">
        <v>220</v>
      </c>
      <c r="B228" s="239"/>
      <c r="C228" s="257"/>
      <c r="D228" s="52"/>
      <c r="E228" s="49"/>
      <c r="F228" s="51"/>
      <c r="G228" s="112">
        <f t="shared" si="6"/>
        <v>0</v>
      </c>
      <c r="H228" s="50"/>
      <c r="I228" s="49"/>
      <c r="J228" s="48"/>
      <c r="K228" s="47"/>
      <c r="L228" s="112">
        <f t="shared" si="7"/>
        <v>0</v>
      </c>
      <c r="M228" s="134"/>
      <c r="N228" s="46"/>
      <c r="O228" s="131"/>
      <c r="P228" s="45"/>
      <c r="Q228" s="80"/>
    </row>
    <row r="229" spans="1:17" s="36" customFormat="1" ht="32.25" hidden="1" customHeight="1">
      <c r="A229" s="100">
        <v>221</v>
      </c>
      <c r="B229" s="239"/>
      <c r="C229" s="257"/>
      <c r="D229" s="52"/>
      <c r="E229" s="49"/>
      <c r="F229" s="51"/>
      <c r="G229" s="112">
        <f t="shared" si="6"/>
        <v>0</v>
      </c>
      <c r="H229" s="50"/>
      <c r="I229" s="49"/>
      <c r="J229" s="48"/>
      <c r="K229" s="47"/>
      <c r="L229" s="112">
        <f t="shared" si="7"/>
        <v>0</v>
      </c>
      <c r="M229" s="134"/>
      <c r="N229" s="46"/>
      <c r="O229" s="131"/>
      <c r="P229" s="45"/>
      <c r="Q229" s="80"/>
    </row>
    <row r="230" spans="1:17" s="36" customFormat="1" ht="32.25" hidden="1" customHeight="1">
      <c r="A230" s="100">
        <v>222</v>
      </c>
      <c r="B230" s="239"/>
      <c r="C230" s="257"/>
      <c r="D230" s="52"/>
      <c r="E230" s="49"/>
      <c r="F230" s="51"/>
      <c r="G230" s="112">
        <f t="shared" si="6"/>
        <v>0</v>
      </c>
      <c r="H230" s="50"/>
      <c r="I230" s="49"/>
      <c r="J230" s="48"/>
      <c r="K230" s="47"/>
      <c r="L230" s="112">
        <f t="shared" si="7"/>
        <v>0</v>
      </c>
      <c r="M230" s="134"/>
      <c r="N230" s="46"/>
      <c r="O230" s="131"/>
      <c r="P230" s="45"/>
      <c r="Q230" s="80"/>
    </row>
    <row r="231" spans="1:17" s="36" customFormat="1" ht="32.25" hidden="1" customHeight="1">
      <c r="A231" s="100">
        <v>223</v>
      </c>
      <c r="B231" s="239"/>
      <c r="C231" s="257"/>
      <c r="D231" s="52"/>
      <c r="E231" s="49"/>
      <c r="F231" s="51"/>
      <c r="G231" s="112">
        <f t="shared" si="6"/>
        <v>0</v>
      </c>
      <c r="H231" s="50"/>
      <c r="I231" s="49"/>
      <c r="J231" s="48"/>
      <c r="K231" s="47"/>
      <c r="L231" s="112">
        <f t="shared" si="7"/>
        <v>0</v>
      </c>
      <c r="M231" s="134"/>
      <c r="N231" s="46"/>
      <c r="O231" s="131"/>
      <c r="P231" s="45"/>
      <c r="Q231" s="80"/>
    </row>
    <row r="232" spans="1:17" s="36" customFormat="1" ht="32.25" hidden="1" customHeight="1">
      <c r="A232" s="100">
        <v>224</v>
      </c>
      <c r="B232" s="239"/>
      <c r="C232" s="257"/>
      <c r="D232" s="52"/>
      <c r="E232" s="49"/>
      <c r="F232" s="51"/>
      <c r="G232" s="112">
        <f t="shared" si="6"/>
        <v>0</v>
      </c>
      <c r="H232" s="50"/>
      <c r="I232" s="49"/>
      <c r="J232" s="48"/>
      <c r="K232" s="47"/>
      <c r="L232" s="112">
        <f t="shared" si="7"/>
        <v>0</v>
      </c>
      <c r="M232" s="134"/>
      <c r="N232" s="46"/>
      <c r="O232" s="131"/>
      <c r="P232" s="45"/>
      <c r="Q232" s="80"/>
    </row>
    <row r="233" spans="1:17" s="36" customFormat="1" ht="32.25" hidden="1" customHeight="1">
      <c r="A233" s="100">
        <v>225</v>
      </c>
      <c r="B233" s="239"/>
      <c r="C233" s="257"/>
      <c r="D233" s="52"/>
      <c r="E233" s="49"/>
      <c r="F233" s="51"/>
      <c r="G233" s="112">
        <f t="shared" si="6"/>
        <v>0</v>
      </c>
      <c r="H233" s="50"/>
      <c r="I233" s="49"/>
      <c r="J233" s="48"/>
      <c r="K233" s="47"/>
      <c r="L233" s="112">
        <f t="shared" si="7"/>
        <v>0</v>
      </c>
      <c r="M233" s="134"/>
      <c r="N233" s="46"/>
      <c r="O233" s="131"/>
      <c r="P233" s="45"/>
      <c r="Q233" s="80"/>
    </row>
    <row r="234" spans="1:17" s="36" customFormat="1" ht="32.25" hidden="1" customHeight="1">
      <c r="A234" s="100">
        <v>226</v>
      </c>
      <c r="B234" s="239"/>
      <c r="C234" s="257"/>
      <c r="D234" s="52"/>
      <c r="E234" s="49"/>
      <c r="F234" s="51"/>
      <c r="G234" s="112">
        <f t="shared" si="6"/>
        <v>0</v>
      </c>
      <c r="H234" s="50"/>
      <c r="I234" s="49"/>
      <c r="J234" s="48"/>
      <c r="K234" s="47"/>
      <c r="L234" s="112">
        <f t="shared" si="7"/>
        <v>0</v>
      </c>
      <c r="M234" s="134"/>
      <c r="N234" s="46"/>
      <c r="O234" s="131"/>
      <c r="P234" s="45"/>
      <c r="Q234" s="80"/>
    </row>
    <row r="235" spans="1:17" s="36" customFormat="1" ht="32.25" hidden="1" customHeight="1">
      <c r="A235" s="100">
        <v>227</v>
      </c>
      <c r="B235" s="239"/>
      <c r="C235" s="257"/>
      <c r="D235" s="52"/>
      <c r="E235" s="49"/>
      <c r="F235" s="51"/>
      <c r="G235" s="112">
        <f t="shared" si="6"/>
        <v>0</v>
      </c>
      <c r="H235" s="50"/>
      <c r="I235" s="49"/>
      <c r="J235" s="48"/>
      <c r="K235" s="47"/>
      <c r="L235" s="112">
        <f t="shared" si="7"/>
        <v>0</v>
      </c>
      <c r="M235" s="134"/>
      <c r="N235" s="46"/>
      <c r="O235" s="131"/>
      <c r="P235" s="45"/>
      <c r="Q235" s="80"/>
    </row>
    <row r="236" spans="1:17" s="36" customFormat="1" ht="32.25" hidden="1" customHeight="1">
      <c r="A236" s="100">
        <v>228</v>
      </c>
      <c r="B236" s="239"/>
      <c r="C236" s="257"/>
      <c r="D236" s="52"/>
      <c r="E236" s="49"/>
      <c r="F236" s="51"/>
      <c r="G236" s="112">
        <f t="shared" si="6"/>
        <v>0</v>
      </c>
      <c r="H236" s="50"/>
      <c r="I236" s="49"/>
      <c r="J236" s="48"/>
      <c r="K236" s="47"/>
      <c r="L236" s="112">
        <f t="shared" si="7"/>
        <v>0</v>
      </c>
      <c r="M236" s="134"/>
      <c r="N236" s="46"/>
      <c r="O236" s="131"/>
      <c r="P236" s="45"/>
      <c r="Q236" s="80"/>
    </row>
    <row r="237" spans="1:17" s="36" customFormat="1" ht="32.25" hidden="1" customHeight="1">
      <c r="A237" s="100">
        <v>229</v>
      </c>
      <c r="B237" s="239"/>
      <c r="C237" s="257"/>
      <c r="D237" s="52"/>
      <c r="E237" s="49"/>
      <c r="F237" s="51"/>
      <c r="G237" s="112">
        <f t="shared" si="6"/>
        <v>0</v>
      </c>
      <c r="H237" s="50"/>
      <c r="I237" s="49"/>
      <c r="J237" s="48"/>
      <c r="K237" s="47"/>
      <c r="L237" s="112">
        <f t="shared" si="7"/>
        <v>0</v>
      </c>
      <c r="M237" s="134"/>
      <c r="N237" s="46"/>
      <c r="O237" s="131"/>
      <c r="P237" s="45"/>
      <c r="Q237" s="80"/>
    </row>
    <row r="238" spans="1:17" s="36" customFormat="1" ht="32.25" hidden="1" customHeight="1">
      <c r="A238" s="100">
        <v>230</v>
      </c>
      <c r="B238" s="239"/>
      <c r="C238" s="257"/>
      <c r="D238" s="52"/>
      <c r="E238" s="49"/>
      <c r="F238" s="51"/>
      <c r="G238" s="112">
        <f t="shared" si="6"/>
        <v>0</v>
      </c>
      <c r="H238" s="50"/>
      <c r="I238" s="49"/>
      <c r="J238" s="48"/>
      <c r="K238" s="47"/>
      <c r="L238" s="112">
        <f t="shared" si="7"/>
        <v>0</v>
      </c>
      <c r="M238" s="134"/>
      <c r="N238" s="46"/>
      <c r="O238" s="131"/>
      <c r="P238" s="45"/>
      <c r="Q238" s="80"/>
    </row>
    <row r="239" spans="1:17" s="36" customFormat="1" ht="32.25" hidden="1" customHeight="1">
      <c r="A239" s="100">
        <v>231</v>
      </c>
      <c r="B239" s="239"/>
      <c r="C239" s="257"/>
      <c r="D239" s="52"/>
      <c r="E239" s="49"/>
      <c r="F239" s="51"/>
      <c r="G239" s="112">
        <f t="shared" si="6"/>
        <v>0</v>
      </c>
      <c r="H239" s="50"/>
      <c r="I239" s="49"/>
      <c r="J239" s="48"/>
      <c r="K239" s="47"/>
      <c r="L239" s="112">
        <f t="shared" si="7"/>
        <v>0</v>
      </c>
      <c r="M239" s="134"/>
      <c r="N239" s="46"/>
      <c r="O239" s="131"/>
      <c r="P239" s="45"/>
      <c r="Q239" s="80"/>
    </row>
    <row r="240" spans="1:17" s="36" customFormat="1" ht="32.25" hidden="1" customHeight="1">
      <c r="A240" s="100">
        <v>232</v>
      </c>
      <c r="B240" s="240"/>
      <c r="C240" s="258"/>
      <c r="D240" s="56"/>
      <c r="E240" s="55"/>
      <c r="F240" s="54"/>
      <c r="G240" s="112">
        <f t="shared" si="6"/>
        <v>0</v>
      </c>
      <c r="H240" s="50"/>
      <c r="I240" s="49"/>
      <c r="J240" s="48"/>
      <c r="K240" s="47"/>
      <c r="L240" s="112">
        <f t="shared" si="7"/>
        <v>0</v>
      </c>
      <c r="M240" s="134"/>
      <c r="N240" s="46"/>
      <c r="O240" s="131"/>
      <c r="P240" s="45"/>
      <c r="Q240" s="80"/>
    </row>
    <row r="241" spans="1:17" s="36" customFormat="1" ht="32.25" hidden="1" customHeight="1">
      <c r="A241" s="100">
        <v>233</v>
      </c>
      <c r="B241" s="239"/>
      <c r="C241" s="257"/>
      <c r="D241" s="53"/>
      <c r="E241" s="46"/>
      <c r="F241" s="51"/>
      <c r="G241" s="112">
        <f t="shared" si="6"/>
        <v>0</v>
      </c>
      <c r="H241" s="50"/>
      <c r="I241" s="49"/>
      <c r="J241" s="48"/>
      <c r="K241" s="47"/>
      <c r="L241" s="112">
        <f t="shared" si="7"/>
        <v>0</v>
      </c>
      <c r="M241" s="134"/>
      <c r="N241" s="46"/>
      <c r="O241" s="131"/>
      <c r="P241" s="45"/>
      <c r="Q241" s="80"/>
    </row>
    <row r="242" spans="1:17" s="36" customFormat="1" ht="32.25" hidden="1" customHeight="1">
      <c r="A242" s="100">
        <v>234</v>
      </c>
      <c r="B242" s="239"/>
      <c r="C242" s="257"/>
      <c r="D242" s="53"/>
      <c r="E242" s="46"/>
      <c r="F242" s="51"/>
      <c r="G242" s="112">
        <f t="shared" si="6"/>
        <v>0</v>
      </c>
      <c r="H242" s="50"/>
      <c r="I242" s="49"/>
      <c r="J242" s="48"/>
      <c r="K242" s="47"/>
      <c r="L242" s="112">
        <f t="shared" si="7"/>
        <v>0</v>
      </c>
      <c r="M242" s="134"/>
      <c r="N242" s="46"/>
      <c r="O242" s="131"/>
      <c r="P242" s="45"/>
      <c r="Q242" s="80"/>
    </row>
    <row r="243" spans="1:17" s="36" customFormat="1" ht="32.25" hidden="1" customHeight="1">
      <c r="A243" s="100">
        <v>235</v>
      </c>
      <c r="B243" s="239"/>
      <c r="C243" s="257"/>
      <c r="D243" s="53"/>
      <c r="E243" s="46"/>
      <c r="F243" s="51"/>
      <c r="G243" s="112">
        <f t="shared" si="6"/>
        <v>0</v>
      </c>
      <c r="H243" s="50"/>
      <c r="I243" s="49"/>
      <c r="J243" s="48"/>
      <c r="K243" s="47"/>
      <c r="L243" s="112">
        <f t="shared" si="7"/>
        <v>0</v>
      </c>
      <c r="M243" s="134"/>
      <c r="N243" s="46"/>
      <c r="O243" s="131"/>
      <c r="P243" s="45"/>
      <c r="Q243" s="80"/>
    </row>
    <row r="244" spans="1:17" s="36" customFormat="1" ht="32.25" hidden="1" customHeight="1">
      <c r="A244" s="100">
        <v>236</v>
      </c>
      <c r="B244" s="239"/>
      <c r="C244" s="257"/>
      <c r="D244" s="53"/>
      <c r="E244" s="46"/>
      <c r="F244" s="51"/>
      <c r="G244" s="112">
        <f t="shared" si="6"/>
        <v>0</v>
      </c>
      <c r="H244" s="50"/>
      <c r="I244" s="49"/>
      <c r="J244" s="48"/>
      <c r="K244" s="47"/>
      <c r="L244" s="112">
        <f t="shared" si="7"/>
        <v>0</v>
      </c>
      <c r="M244" s="134"/>
      <c r="N244" s="46"/>
      <c r="O244" s="131"/>
      <c r="P244" s="45"/>
      <c r="Q244" s="80"/>
    </row>
    <row r="245" spans="1:17" s="36" customFormat="1" ht="32.25" hidden="1" customHeight="1">
      <c r="A245" s="100">
        <v>237</v>
      </c>
      <c r="B245" s="239"/>
      <c r="C245" s="257"/>
      <c r="D245" s="53"/>
      <c r="E245" s="46"/>
      <c r="F245" s="51"/>
      <c r="G245" s="112">
        <f t="shared" si="6"/>
        <v>0</v>
      </c>
      <c r="H245" s="50"/>
      <c r="I245" s="49"/>
      <c r="J245" s="48"/>
      <c r="K245" s="47"/>
      <c r="L245" s="112">
        <f t="shared" si="7"/>
        <v>0</v>
      </c>
      <c r="M245" s="134"/>
      <c r="N245" s="46"/>
      <c r="O245" s="131"/>
      <c r="P245" s="45"/>
      <c r="Q245" s="80"/>
    </row>
    <row r="246" spans="1:17" s="36" customFormat="1" ht="32.25" hidden="1" customHeight="1">
      <c r="A246" s="100">
        <v>238</v>
      </c>
      <c r="B246" s="239"/>
      <c r="C246" s="257"/>
      <c r="D246" s="53"/>
      <c r="E246" s="46"/>
      <c r="F246" s="51"/>
      <c r="G246" s="112">
        <f t="shared" si="6"/>
        <v>0</v>
      </c>
      <c r="H246" s="50"/>
      <c r="I246" s="49"/>
      <c r="J246" s="48"/>
      <c r="K246" s="47"/>
      <c r="L246" s="112">
        <f t="shared" si="7"/>
        <v>0</v>
      </c>
      <c r="M246" s="134"/>
      <c r="N246" s="46"/>
      <c r="O246" s="131"/>
      <c r="P246" s="45"/>
      <c r="Q246" s="80"/>
    </row>
    <row r="247" spans="1:17" s="36" customFormat="1" ht="32.25" hidden="1" customHeight="1">
      <c r="A247" s="100">
        <v>239</v>
      </c>
      <c r="B247" s="239"/>
      <c r="C247" s="257"/>
      <c r="D247" s="52"/>
      <c r="E247" s="49"/>
      <c r="F247" s="51"/>
      <c r="G247" s="112">
        <f t="shared" si="6"/>
        <v>0</v>
      </c>
      <c r="H247" s="50"/>
      <c r="I247" s="49"/>
      <c r="J247" s="48"/>
      <c r="K247" s="47"/>
      <c r="L247" s="112">
        <f t="shared" si="7"/>
        <v>0</v>
      </c>
      <c r="M247" s="134"/>
      <c r="N247" s="46"/>
      <c r="O247" s="131"/>
      <c r="P247" s="45"/>
      <c r="Q247" s="80"/>
    </row>
    <row r="248" spans="1:17" s="36" customFormat="1" ht="32.25" hidden="1" customHeight="1">
      <c r="A248" s="100">
        <v>240</v>
      </c>
      <c r="B248" s="239"/>
      <c r="C248" s="257"/>
      <c r="D248" s="52"/>
      <c r="E248" s="49"/>
      <c r="F248" s="51"/>
      <c r="G248" s="112">
        <f t="shared" si="6"/>
        <v>0</v>
      </c>
      <c r="H248" s="50"/>
      <c r="I248" s="49"/>
      <c r="J248" s="48"/>
      <c r="K248" s="47"/>
      <c r="L248" s="112">
        <f t="shared" si="7"/>
        <v>0</v>
      </c>
      <c r="M248" s="134"/>
      <c r="N248" s="46"/>
      <c r="O248" s="131"/>
      <c r="P248" s="45"/>
      <c r="Q248" s="80"/>
    </row>
    <row r="249" spans="1:17" s="36" customFormat="1" ht="32.25" hidden="1" customHeight="1">
      <c r="A249" s="100">
        <v>241</v>
      </c>
      <c r="B249" s="239"/>
      <c r="C249" s="257"/>
      <c r="D249" s="52"/>
      <c r="E249" s="49"/>
      <c r="F249" s="51"/>
      <c r="G249" s="112">
        <f t="shared" si="6"/>
        <v>0</v>
      </c>
      <c r="H249" s="50"/>
      <c r="I249" s="49"/>
      <c r="J249" s="48"/>
      <c r="K249" s="47"/>
      <c r="L249" s="112">
        <f t="shared" si="7"/>
        <v>0</v>
      </c>
      <c r="M249" s="134"/>
      <c r="N249" s="46"/>
      <c r="O249" s="131"/>
      <c r="P249" s="45"/>
      <c r="Q249" s="80"/>
    </row>
    <row r="250" spans="1:17" s="36" customFormat="1" ht="32.25" hidden="1" customHeight="1">
      <c r="A250" s="100">
        <v>242</v>
      </c>
      <c r="B250" s="239"/>
      <c r="C250" s="257"/>
      <c r="D250" s="52"/>
      <c r="E250" s="49"/>
      <c r="F250" s="51"/>
      <c r="G250" s="112">
        <f t="shared" si="6"/>
        <v>0</v>
      </c>
      <c r="H250" s="50"/>
      <c r="I250" s="49"/>
      <c r="J250" s="48"/>
      <c r="K250" s="47"/>
      <c r="L250" s="112">
        <f t="shared" si="7"/>
        <v>0</v>
      </c>
      <c r="M250" s="134"/>
      <c r="N250" s="46"/>
      <c r="O250" s="131"/>
      <c r="P250" s="45"/>
      <c r="Q250" s="80"/>
    </row>
    <row r="251" spans="1:17" s="36" customFormat="1" ht="32.25" hidden="1" customHeight="1">
      <c r="A251" s="100">
        <v>243</v>
      </c>
      <c r="B251" s="239"/>
      <c r="C251" s="257"/>
      <c r="D251" s="52"/>
      <c r="E251" s="49"/>
      <c r="F251" s="51"/>
      <c r="G251" s="112">
        <f t="shared" si="6"/>
        <v>0</v>
      </c>
      <c r="H251" s="50"/>
      <c r="I251" s="49"/>
      <c r="J251" s="48"/>
      <c r="K251" s="47"/>
      <c r="L251" s="112">
        <f t="shared" si="7"/>
        <v>0</v>
      </c>
      <c r="M251" s="134"/>
      <c r="N251" s="46"/>
      <c r="O251" s="131"/>
      <c r="P251" s="45"/>
      <c r="Q251" s="80"/>
    </row>
    <row r="252" spans="1:17" s="36" customFormat="1" ht="32.25" hidden="1" customHeight="1">
      <c r="A252" s="100">
        <v>244</v>
      </c>
      <c r="B252" s="239"/>
      <c r="C252" s="257"/>
      <c r="D252" s="52"/>
      <c r="E252" s="49"/>
      <c r="F252" s="51"/>
      <c r="G252" s="112">
        <f t="shared" si="6"/>
        <v>0</v>
      </c>
      <c r="H252" s="50"/>
      <c r="I252" s="49"/>
      <c r="J252" s="48"/>
      <c r="K252" s="47"/>
      <c r="L252" s="112">
        <f t="shared" si="7"/>
        <v>0</v>
      </c>
      <c r="M252" s="134"/>
      <c r="N252" s="46"/>
      <c r="O252" s="131"/>
      <c r="P252" s="45"/>
      <c r="Q252" s="80"/>
    </row>
    <row r="253" spans="1:17" s="36" customFormat="1" ht="32.25" hidden="1" customHeight="1">
      <c r="A253" s="100">
        <v>245</v>
      </c>
      <c r="B253" s="239"/>
      <c r="C253" s="257"/>
      <c r="D253" s="52"/>
      <c r="E253" s="49"/>
      <c r="F253" s="51"/>
      <c r="G253" s="112">
        <f t="shared" si="6"/>
        <v>0</v>
      </c>
      <c r="H253" s="50"/>
      <c r="I253" s="49"/>
      <c r="J253" s="48"/>
      <c r="K253" s="47"/>
      <c r="L253" s="112">
        <f t="shared" si="7"/>
        <v>0</v>
      </c>
      <c r="M253" s="134"/>
      <c r="N253" s="46"/>
      <c r="O253" s="131"/>
      <c r="P253" s="45"/>
      <c r="Q253" s="80"/>
    </row>
    <row r="254" spans="1:17" s="36" customFormat="1" ht="32.25" hidden="1" customHeight="1">
      <c r="A254" s="100">
        <v>246</v>
      </c>
      <c r="B254" s="239"/>
      <c r="C254" s="257"/>
      <c r="D254" s="52"/>
      <c r="E254" s="49"/>
      <c r="F254" s="51"/>
      <c r="G254" s="112">
        <f t="shared" si="6"/>
        <v>0</v>
      </c>
      <c r="H254" s="50"/>
      <c r="I254" s="49"/>
      <c r="J254" s="48"/>
      <c r="K254" s="47"/>
      <c r="L254" s="112">
        <f t="shared" si="7"/>
        <v>0</v>
      </c>
      <c r="M254" s="134"/>
      <c r="N254" s="46"/>
      <c r="O254" s="131"/>
      <c r="P254" s="45"/>
      <c r="Q254" s="80"/>
    </row>
    <row r="255" spans="1:17" s="36" customFormat="1" ht="32.25" hidden="1" customHeight="1">
      <c r="A255" s="100">
        <v>247</v>
      </c>
      <c r="B255" s="239"/>
      <c r="C255" s="257"/>
      <c r="D255" s="52"/>
      <c r="E255" s="49"/>
      <c r="F255" s="51"/>
      <c r="G255" s="112">
        <f t="shared" si="6"/>
        <v>0</v>
      </c>
      <c r="H255" s="50"/>
      <c r="I255" s="49"/>
      <c r="J255" s="48"/>
      <c r="K255" s="47"/>
      <c r="L255" s="112">
        <f t="shared" si="7"/>
        <v>0</v>
      </c>
      <c r="M255" s="134"/>
      <c r="N255" s="46"/>
      <c r="O255" s="131"/>
      <c r="P255" s="45"/>
      <c r="Q255" s="80"/>
    </row>
    <row r="256" spans="1:17" s="36" customFormat="1" ht="32.25" hidden="1" customHeight="1">
      <c r="A256" s="100">
        <v>248</v>
      </c>
      <c r="B256" s="239"/>
      <c r="C256" s="257"/>
      <c r="D256" s="52"/>
      <c r="E256" s="49"/>
      <c r="F256" s="51"/>
      <c r="G256" s="112">
        <f t="shared" si="6"/>
        <v>0</v>
      </c>
      <c r="H256" s="50"/>
      <c r="I256" s="49"/>
      <c r="J256" s="48"/>
      <c r="K256" s="47"/>
      <c r="L256" s="112">
        <f t="shared" si="7"/>
        <v>0</v>
      </c>
      <c r="M256" s="134"/>
      <c r="N256" s="46"/>
      <c r="O256" s="131"/>
      <c r="P256" s="45"/>
      <c r="Q256" s="80"/>
    </row>
    <row r="257" spans="1:17" s="36" customFormat="1" ht="32.25" hidden="1" customHeight="1">
      <c r="A257" s="100">
        <v>249</v>
      </c>
      <c r="B257" s="239"/>
      <c r="C257" s="257"/>
      <c r="D257" s="52"/>
      <c r="E257" s="49"/>
      <c r="F257" s="51"/>
      <c r="G257" s="112">
        <f t="shared" si="6"/>
        <v>0</v>
      </c>
      <c r="H257" s="50"/>
      <c r="I257" s="49"/>
      <c r="J257" s="48"/>
      <c r="K257" s="47"/>
      <c r="L257" s="112">
        <f t="shared" si="7"/>
        <v>0</v>
      </c>
      <c r="M257" s="134"/>
      <c r="N257" s="46"/>
      <c r="O257" s="131"/>
      <c r="P257" s="45"/>
      <c r="Q257" s="80"/>
    </row>
    <row r="258" spans="1:17" s="36" customFormat="1" ht="32.25" hidden="1" customHeight="1">
      <c r="A258" s="100">
        <v>250</v>
      </c>
      <c r="B258" s="239"/>
      <c r="C258" s="257"/>
      <c r="D258" s="52"/>
      <c r="E258" s="49"/>
      <c r="F258" s="51"/>
      <c r="G258" s="112">
        <f t="shared" si="6"/>
        <v>0</v>
      </c>
      <c r="H258" s="50"/>
      <c r="I258" s="49"/>
      <c r="J258" s="48"/>
      <c r="K258" s="47"/>
      <c r="L258" s="112">
        <f t="shared" si="7"/>
        <v>0</v>
      </c>
      <c r="M258" s="134"/>
      <c r="N258" s="46"/>
      <c r="O258" s="131"/>
      <c r="P258" s="45"/>
      <c r="Q258" s="80"/>
    </row>
    <row r="259" spans="1:17" s="36" customFormat="1" ht="32.25" hidden="1" customHeight="1">
      <c r="A259" s="100">
        <v>251</v>
      </c>
      <c r="B259" s="239"/>
      <c r="C259" s="257"/>
      <c r="D259" s="52"/>
      <c r="E259" s="49"/>
      <c r="F259" s="51"/>
      <c r="G259" s="112">
        <f t="shared" si="6"/>
        <v>0</v>
      </c>
      <c r="H259" s="50"/>
      <c r="I259" s="49"/>
      <c r="J259" s="48"/>
      <c r="K259" s="47"/>
      <c r="L259" s="112">
        <f t="shared" si="7"/>
        <v>0</v>
      </c>
      <c r="M259" s="134"/>
      <c r="N259" s="46"/>
      <c r="O259" s="131"/>
      <c r="P259" s="45"/>
      <c r="Q259" s="80"/>
    </row>
    <row r="260" spans="1:17" s="36" customFormat="1" ht="32.25" hidden="1" customHeight="1">
      <c r="A260" s="100">
        <v>252</v>
      </c>
      <c r="B260" s="239"/>
      <c r="C260" s="257"/>
      <c r="D260" s="52"/>
      <c r="E260" s="49"/>
      <c r="F260" s="51"/>
      <c r="G260" s="112">
        <f t="shared" si="6"/>
        <v>0</v>
      </c>
      <c r="H260" s="50"/>
      <c r="I260" s="49"/>
      <c r="J260" s="48"/>
      <c r="K260" s="47"/>
      <c r="L260" s="112">
        <f t="shared" si="7"/>
        <v>0</v>
      </c>
      <c r="M260" s="134"/>
      <c r="N260" s="46"/>
      <c r="O260" s="131"/>
      <c r="P260" s="45"/>
      <c r="Q260" s="80"/>
    </row>
    <row r="261" spans="1:17" s="36" customFormat="1" ht="32.25" hidden="1" customHeight="1">
      <c r="A261" s="100">
        <v>253</v>
      </c>
      <c r="B261" s="239"/>
      <c r="C261" s="257"/>
      <c r="D261" s="52"/>
      <c r="E261" s="49"/>
      <c r="F261" s="51"/>
      <c r="G261" s="112">
        <f t="shared" si="6"/>
        <v>0</v>
      </c>
      <c r="H261" s="50"/>
      <c r="I261" s="49"/>
      <c r="J261" s="48"/>
      <c r="K261" s="47"/>
      <c r="L261" s="112">
        <f t="shared" si="7"/>
        <v>0</v>
      </c>
      <c r="M261" s="134"/>
      <c r="N261" s="46"/>
      <c r="O261" s="131"/>
      <c r="P261" s="45"/>
      <c r="Q261" s="80"/>
    </row>
    <row r="262" spans="1:17" s="36" customFormat="1" ht="32.25" hidden="1" customHeight="1">
      <c r="A262" s="100">
        <v>254</v>
      </c>
      <c r="B262" s="239"/>
      <c r="C262" s="257"/>
      <c r="D262" s="52"/>
      <c r="E262" s="49"/>
      <c r="F262" s="51"/>
      <c r="G262" s="112">
        <f t="shared" si="6"/>
        <v>0</v>
      </c>
      <c r="H262" s="50"/>
      <c r="I262" s="49"/>
      <c r="J262" s="48"/>
      <c r="K262" s="47"/>
      <c r="L262" s="112">
        <f t="shared" si="7"/>
        <v>0</v>
      </c>
      <c r="M262" s="134"/>
      <c r="N262" s="46"/>
      <c r="O262" s="131"/>
      <c r="P262" s="45"/>
      <c r="Q262" s="80"/>
    </row>
    <row r="263" spans="1:17" s="36" customFormat="1" ht="32.25" hidden="1" customHeight="1">
      <c r="A263" s="100">
        <v>255</v>
      </c>
      <c r="B263" s="239"/>
      <c r="C263" s="257"/>
      <c r="D263" s="52"/>
      <c r="E263" s="49"/>
      <c r="F263" s="51"/>
      <c r="G263" s="112">
        <f t="shared" si="6"/>
        <v>0</v>
      </c>
      <c r="H263" s="50"/>
      <c r="I263" s="49"/>
      <c r="J263" s="48"/>
      <c r="K263" s="47"/>
      <c r="L263" s="112">
        <f t="shared" si="7"/>
        <v>0</v>
      </c>
      <c r="M263" s="134"/>
      <c r="N263" s="46"/>
      <c r="O263" s="131"/>
      <c r="P263" s="45"/>
      <c r="Q263" s="80"/>
    </row>
    <row r="264" spans="1:17" s="36" customFormat="1" ht="32.25" hidden="1" customHeight="1">
      <c r="A264" s="100">
        <v>256</v>
      </c>
      <c r="B264" s="239"/>
      <c r="C264" s="257"/>
      <c r="D264" s="52"/>
      <c r="E264" s="49"/>
      <c r="F264" s="51"/>
      <c r="G264" s="112">
        <f t="shared" si="6"/>
        <v>0</v>
      </c>
      <c r="H264" s="50"/>
      <c r="I264" s="49"/>
      <c r="J264" s="48"/>
      <c r="K264" s="47"/>
      <c r="L264" s="112">
        <f t="shared" si="7"/>
        <v>0</v>
      </c>
      <c r="M264" s="134"/>
      <c r="N264" s="46"/>
      <c r="O264" s="131"/>
      <c r="P264" s="45"/>
      <c r="Q264" s="80"/>
    </row>
    <row r="265" spans="1:17" s="36" customFormat="1" ht="32.25" hidden="1" customHeight="1">
      <c r="A265" s="100">
        <v>257</v>
      </c>
      <c r="B265" s="239"/>
      <c r="C265" s="257"/>
      <c r="D265" s="52"/>
      <c r="E265" s="49"/>
      <c r="F265" s="51"/>
      <c r="G265" s="112">
        <f t="shared" si="6"/>
        <v>0</v>
      </c>
      <c r="H265" s="50"/>
      <c r="I265" s="49"/>
      <c r="J265" s="48"/>
      <c r="K265" s="47"/>
      <c r="L265" s="112">
        <f t="shared" si="7"/>
        <v>0</v>
      </c>
      <c r="M265" s="134"/>
      <c r="N265" s="46"/>
      <c r="O265" s="131"/>
      <c r="P265" s="45"/>
      <c r="Q265" s="80"/>
    </row>
    <row r="266" spans="1:17" s="36" customFormat="1" ht="32.25" hidden="1" customHeight="1">
      <c r="A266" s="100">
        <v>258</v>
      </c>
      <c r="B266" s="239"/>
      <c r="C266" s="257"/>
      <c r="D266" s="52"/>
      <c r="E266" s="49"/>
      <c r="F266" s="51"/>
      <c r="G266" s="112">
        <f t="shared" si="6"/>
        <v>0</v>
      </c>
      <c r="H266" s="50"/>
      <c r="I266" s="49"/>
      <c r="J266" s="48"/>
      <c r="K266" s="47"/>
      <c r="L266" s="112">
        <f t="shared" si="7"/>
        <v>0</v>
      </c>
      <c r="M266" s="134"/>
      <c r="N266" s="46"/>
      <c r="O266" s="131"/>
      <c r="P266" s="45"/>
      <c r="Q266" s="80"/>
    </row>
    <row r="267" spans="1:17" s="36" customFormat="1" ht="32.25" hidden="1" customHeight="1">
      <c r="A267" s="100">
        <v>259</v>
      </c>
      <c r="B267" s="239"/>
      <c r="C267" s="257"/>
      <c r="D267" s="52"/>
      <c r="E267" s="49"/>
      <c r="F267" s="51"/>
      <c r="G267" s="112">
        <f t="shared" si="6"/>
        <v>0</v>
      </c>
      <c r="H267" s="50"/>
      <c r="I267" s="49"/>
      <c r="J267" s="48"/>
      <c r="K267" s="47"/>
      <c r="L267" s="112">
        <f t="shared" si="7"/>
        <v>0</v>
      </c>
      <c r="M267" s="134"/>
      <c r="N267" s="46"/>
      <c r="O267" s="131"/>
      <c r="P267" s="45"/>
      <c r="Q267" s="80"/>
    </row>
    <row r="268" spans="1:17" s="36" customFormat="1" ht="32.25" hidden="1" customHeight="1">
      <c r="A268" s="100">
        <v>260</v>
      </c>
      <c r="B268" s="239"/>
      <c r="C268" s="257"/>
      <c r="D268" s="52"/>
      <c r="E268" s="49"/>
      <c r="F268" s="51"/>
      <c r="G268" s="112">
        <f t="shared" si="6"/>
        <v>0</v>
      </c>
      <c r="H268" s="50"/>
      <c r="I268" s="49"/>
      <c r="J268" s="48"/>
      <c r="K268" s="47"/>
      <c r="L268" s="112">
        <f t="shared" si="7"/>
        <v>0</v>
      </c>
      <c r="M268" s="134"/>
      <c r="N268" s="46"/>
      <c r="O268" s="131"/>
      <c r="P268" s="45"/>
      <c r="Q268" s="80"/>
    </row>
    <row r="269" spans="1:17" s="36" customFormat="1" ht="32.25" hidden="1" customHeight="1">
      <c r="A269" s="100">
        <v>261</v>
      </c>
      <c r="B269" s="239"/>
      <c r="C269" s="257"/>
      <c r="D269" s="52"/>
      <c r="E269" s="49"/>
      <c r="F269" s="51"/>
      <c r="G269" s="112">
        <f t="shared" si="6"/>
        <v>0</v>
      </c>
      <c r="H269" s="50"/>
      <c r="I269" s="49"/>
      <c r="J269" s="48"/>
      <c r="K269" s="47"/>
      <c r="L269" s="112">
        <f t="shared" si="7"/>
        <v>0</v>
      </c>
      <c r="M269" s="134"/>
      <c r="N269" s="46"/>
      <c r="O269" s="131"/>
      <c r="P269" s="45"/>
      <c r="Q269" s="80"/>
    </row>
    <row r="270" spans="1:17" s="36" customFormat="1" ht="32.25" hidden="1" customHeight="1">
      <c r="A270" s="100">
        <v>262</v>
      </c>
      <c r="B270" s="239"/>
      <c r="C270" s="257"/>
      <c r="D270" s="52"/>
      <c r="E270" s="49"/>
      <c r="F270" s="51"/>
      <c r="G270" s="112">
        <f t="shared" si="6"/>
        <v>0</v>
      </c>
      <c r="H270" s="50"/>
      <c r="I270" s="49"/>
      <c r="J270" s="48"/>
      <c r="K270" s="47"/>
      <c r="L270" s="112">
        <f t="shared" si="7"/>
        <v>0</v>
      </c>
      <c r="M270" s="134"/>
      <c r="N270" s="46"/>
      <c r="O270" s="131"/>
      <c r="P270" s="45"/>
      <c r="Q270" s="80"/>
    </row>
    <row r="271" spans="1:17" s="36" customFormat="1" ht="32.25" hidden="1" customHeight="1">
      <c r="A271" s="100">
        <v>263</v>
      </c>
      <c r="B271" s="239"/>
      <c r="C271" s="257"/>
      <c r="D271" s="52"/>
      <c r="E271" s="49"/>
      <c r="F271" s="51"/>
      <c r="G271" s="112">
        <f t="shared" si="6"/>
        <v>0</v>
      </c>
      <c r="H271" s="50"/>
      <c r="I271" s="49"/>
      <c r="J271" s="48"/>
      <c r="K271" s="47"/>
      <c r="L271" s="112">
        <f t="shared" si="7"/>
        <v>0</v>
      </c>
      <c r="M271" s="134"/>
      <c r="N271" s="46"/>
      <c r="O271" s="131"/>
      <c r="P271" s="45"/>
      <c r="Q271" s="80"/>
    </row>
    <row r="272" spans="1:17" s="36" customFormat="1" ht="32.25" hidden="1" customHeight="1">
      <c r="A272" s="100">
        <v>264</v>
      </c>
      <c r="B272" s="239"/>
      <c r="C272" s="257"/>
      <c r="D272" s="52"/>
      <c r="E272" s="49"/>
      <c r="F272" s="51"/>
      <c r="G272" s="112">
        <f t="shared" si="6"/>
        <v>0</v>
      </c>
      <c r="H272" s="50"/>
      <c r="I272" s="49"/>
      <c r="J272" s="48"/>
      <c r="K272" s="47"/>
      <c r="L272" s="112">
        <f t="shared" si="7"/>
        <v>0</v>
      </c>
      <c r="M272" s="134"/>
      <c r="N272" s="46"/>
      <c r="O272" s="131"/>
      <c r="P272" s="45"/>
      <c r="Q272" s="80"/>
    </row>
    <row r="273" spans="1:17" s="36" customFormat="1" ht="32.25" hidden="1" customHeight="1">
      <c r="A273" s="100">
        <v>265</v>
      </c>
      <c r="B273" s="239"/>
      <c r="C273" s="257"/>
      <c r="D273" s="52"/>
      <c r="E273" s="49"/>
      <c r="F273" s="51"/>
      <c r="G273" s="112">
        <f t="shared" si="6"/>
        <v>0</v>
      </c>
      <c r="H273" s="50"/>
      <c r="I273" s="49"/>
      <c r="J273" s="48"/>
      <c r="K273" s="47"/>
      <c r="L273" s="112">
        <f t="shared" si="7"/>
        <v>0</v>
      </c>
      <c r="M273" s="134"/>
      <c r="N273" s="46"/>
      <c r="O273" s="131"/>
      <c r="P273" s="45"/>
      <c r="Q273" s="80"/>
    </row>
    <row r="274" spans="1:17" s="36" customFormat="1" ht="32.25" hidden="1" customHeight="1">
      <c r="A274" s="100">
        <v>266</v>
      </c>
      <c r="B274" s="239"/>
      <c r="C274" s="257"/>
      <c r="D274" s="52"/>
      <c r="E274" s="49"/>
      <c r="F274" s="51"/>
      <c r="G274" s="112">
        <f t="shared" si="6"/>
        <v>0</v>
      </c>
      <c r="H274" s="50"/>
      <c r="I274" s="49"/>
      <c r="J274" s="48"/>
      <c r="K274" s="47"/>
      <c r="L274" s="112">
        <f t="shared" si="7"/>
        <v>0</v>
      </c>
      <c r="M274" s="134"/>
      <c r="N274" s="46"/>
      <c r="O274" s="131"/>
      <c r="P274" s="45"/>
      <c r="Q274" s="80"/>
    </row>
    <row r="275" spans="1:17" s="36" customFormat="1" ht="32.25" hidden="1" customHeight="1">
      <c r="A275" s="100">
        <v>267</v>
      </c>
      <c r="B275" s="239"/>
      <c r="C275" s="257"/>
      <c r="D275" s="52"/>
      <c r="E275" s="49"/>
      <c r="F275" s="51"/>
      <c r="G275" s="112">
        <f t="shared" si="6"/>
        <v>0</v>
      </c>
      <c r="H275" s="50"/>
      <c r="I275" s="49"/>
      <c r="J275" s="48"/>
      <c r="K275" s="47"/>
      <c r="L275" s="112">
        <f t="shared" si="7"/>
        <v>0</v>
      </c>
      <c r="M275" s="134"/>
      <c r="N275" s="46"/>
      <c r="O275" s="131"/>
      <c r="P275" s="45"/>
      <c r="Q275" s="80"/>
    </row>
    <row r="276" spans="1:17" s="36" customFormat="1" ht="32.25" hidden="1" customHeight="1">
      <c r="A276" s="100">
        <v>268</v>
      </c>
      <c r="B276" s="239"/>
      <c r="C276" s="257"/>
      <c r="D276" s="52"/>
      <c r="E276" s="49"/>
      <c r="F276" s="51"/>
      <c r="G276" s="112">
        <f t="shared" si="6"/>
        <v>0</v>
      </c>
      <c r="H276" s="50"/>
      <c r="I276" s="49"/>
      <c r="J276" s="48"/>
      <c r="K276" s="47"/>
      <c r="L276" s="112">
        <f t="shared" si="7"/>
        <v>0</v>
      </c>
      <c r="M276" s="134"/>
      <c r="N276" s="46"/>
      <c r="O276" s="131"/>
      <c r="P276" s="45"/>
      <c r="Q276" s="80"/>
    </row>
    <row r="277" spans="1:17" s="36" customFormat="1" ht="32.25" hidden="1" customHeight="1">
      <c r="A277" s="100">
        <v>269</v>
      </c>
      <c r="B277" s="239"/>
      <c r="C277" s="257"/>
      <c r="D277" s="52"/>
      <c r="E277" s="49"/>
      <c r="F277" s="51"/>
      <c r="G277" s="112">
        <f t="shared" si="6"/>
        <v>0</v>
      </c>
      <c r="H277" s="50"/>
      <c r="I277" s="49"/>
      <c r="J277" s="48"/>
      <c r="K277" s="47"/>
      <c r="L277" s="112">
        <f t="shared" si="7"/>
        <v>0</v>
      </c>
      <c r="M277" s="134"/>
      <c r="N277" s="46"/>
      <c r="O277" s="131"/>
      <c r="P277" s="45"/>
      <c r="Q277" s="80"/>
    </row>
    <row r="278" spans="1:17" s="36" customFormat="1" ht="32.25" hidden="1" customHeight="1">
      <c r="A278" s="100">
        <v>270</v>
      </c>
      <c r="B278" s="239"/>
      <c r="C278" s="257"/>
      <c r="D278" s="52"/>
      <c r="E278" s="49"/>
      <c r="F278" s="51"/>
      <c r="G278" s="112">
        <f t="shared" si="6"/>
        <v>0</v>
      </c>
      <c r="H278" s="50"/>
      <c r="I278" s="49"/>
      <c r="J278" s="48"/>
      <c r="K278" s="47"/>
      <c r="L278" s="112">
        <f t="shared" si="7"/>
        <v>0</v>
      </c>
      <c r="M278" s="134"/>
      <c r="N278" s="46"/>
      <c r="O278" s="131"/>
      <c r="P278" s="45"/>
      <c r="Q278" s="80"/>
    </row>
    <row r="279" spans="1:17" s="36" customFormat="1" ht="32.25" hidden="1" customHeight="1">
      <c r="A279" s="100">
        <v>271</v>
      </c>
      <c r="B279" s="239"/>
      <c r="C279" s="257"/>
      <c r="D279" s="52"/>
      <c r="E279" s="49"/>
      <c r="F279" s="51"/>
      <c r="G279" s="112">
        <f t="shared" si="6"/>
        <v>0</v>
      </c>
      <c r="H279" s="50"/>
      <c r="I279" s="49"/>
      <c r="J279" s="48"/>
      <c r="K279" s="47"/>
      <c r="L279" s="112">
        <f t="shared" si="7"/>
        <v>0</v>
      </c>
      <c r="M279" s="134"/>
      <c r="N279" s="46"/>
      <c r="O279" s="131"/>
      <c r="P279" s="45"/>
      <c r="Q279" s="80"/>
    </row>
    <row r="280" spans="1:17" s="36" customFormat="1" ht="32.25" hidden="1" customHeight="1">
      <c r="A280" s="100">
        <v>272</v>
      </c>
      <c r="B280" s="239"/>
      <c r="C280" s="257"/>
      <c r="D280" s="52"/>
      <c r="E280" s="49"/>
      <c r="F280" s="51"/>
      <c r="G280" s="112">
        <f t="shared" si="6"/>
        <v>0</v>
      </c>
      <c r="H280" s="50"/>
      <c r="I280" s="49"/>
      <c r="J280" s="48"/>
      <c r="K280" s="47"/>
      <c r="L280" s="112">
        <f t="shared" si="7"/>
        <v>0</v>
      </c>
      <c r="M280" s="134"/>
      <c r="N280" s="46"/>
      <c r="O280" s="131"/>
      <c r="P280" s="45"/>
      <c r="Q280" s="80"/>
    </row>
    <row r="281" spans="1:17" s="36" customFormat="1" ht="32.25" hidden="1" customHeight="1">
      <c r="A281" s="100">
        <v>273</v>
      </c>
      <c r="B281" s="239"/>
      <c r="C281" s="257"/>
      <c r="D281" s="52"/>
      <c r="E281" s="49"/>
      <c r="F281" s="51"/>
      <c r="G281" s="112">
        <f t="shared" si="6"/>
        <v>0</v>
      </c>
      <c r="H281" s="50"/>
      <c r="I281" s="49"/>
      <c r="J281" s="48"/>
      <c r="K281" s="47"/>
      <c r="L281" s="112">
        <f t="shared" si="7"/>
        <v>0</v>
      </c>
      <c r="M281" s="134"/>
      <c r="N281" s="46"/>
      <c r="O281" s="131"/>
      <c r="P281" s="45"/>
      <c r="Q281" s="80"/>
    </row>
    <row r="282" spans="1:17" s="36" customFormat="1" ht="32.25" hidden="1" customHeight="1">
      <c r="A282" s="100">
        <v>274</v>
      </c>
      <c r="B282" s="239"/>
      <c r="C282" s="257"/>
      <c r="D282" s="52"/>
      <c r="E282" s="49"/>
      <c r="F282" s="51"/>
      <c r="G282" s="112">
        <f t="shared" si="6"/>
        <v>0</v>
      </c>
      <c r="H282" s="50"/>
      <c r="I282" s="49"/>
      <c r="J282" s="48"/>
      <c r="K282" s="47"/>
      <c r="L282" s="112">
        <f t="shared" si="7"/>
        <v>0</v>
      </c>
      <c r="M282" s="134"/>
      <c r="N282" s="46"/>
      <c r="O282" s="131"/>
      <c r="P282" s="45"/>
      <c r="Q282" s="80"/>
    </row>
    <row r="283" spans="1:17" s="36" customFormat="1" ht="32.25" hidden="1" customHeight="1">
      <c r="A283" s="100">
        <v>275</v>
      </c>
      <c r="B283" s="239"/>
      <c r="C283" s="257"/>
      <c r="D283" s="52"/>
      <c r="E283" s="49"/>
      <c r="F283" s="51"/>
      <c r="G283" s="112">
        <f t="shared" si="6"/>
        <v>0</v>
      </c>
      <c r="H283" s="50"/>
      <c r="I283" s="49"/>
      <c r="J283" s="48"/>
      <c r="K283" s="47"/>
      <c r="L283" s="112">
        <f t="shared" si="7"/>
        <v>0</v>
      </c>
      <c r="M283" s="134"/>
      <c r="N283" s="46"/>
      <c r="O283" s="131"/>
      <c r="P283" s="45"/>
      <c r="Q283" s="80"/>
    </row>
    <row r="284" spans="1:17" s="36" customFormat="1" ht="32.25" hidden="1" customHeight="1">
      <c r="A284" s="100">
        <v>276</v>
      </c>
      <c r="B284" s="239"/>
      <c r="C284" s="257"/>
      <c r="D284" s="52"/>
      <c r="E284" s="49"/>
      <c r="F284" s="51"/>
      <c r="G284" s="112">
        <f t="shared" si="6"/>
        <v>0</v>
      </c>
      <c r="H284" s="50"/>
      <c r="I284" s="49"/>
      <c r="J284" s="48"/>
      <c r="K284" s="47"/>
      <c r="L284" s="112">
        <f t="shared" si="7"/>
        <v>0</v>
      </c>
      <c r="M284" s="134"/>
      <c r="N284" s="46"/>
      <c r="O284" s="131"/>
      <c r="P284" s="45"/>
      <c r="Q284" s="80"/>
    </row>
    <row r="285" spans="1:17" s="36" customFormat="1" ht="32.25" hidden="1" customHeight="1">
      <c r="A285" s="100">
        <v>277</v>
      </c>
      <c r="B285" s="239"/>
      <c r="C285" s="257"/>
      <c r="D285" s="52"/>
      <c r="E285" s="49"/>
      <c r="F285" s="51"/>
      <c r="G285" s="112">
        <f t="shared" si="6"/>
        <v>0</v>
      </c>
      <c r="H285" s="50"/>
      <c r="I285" s="49"/>
      <c r="J285" s="48"/>
      <c r="K285" s="47"/>
      <c r="L285" s="112">
        <f t="shared" si="7"/>
        <v>0</v>
      </c>
      <c r="M285" s="134"/>
      <c r="N285" s="46"/>
      <c r="O285" s="131"/>
      <c r="P285" s="45"/>
      <c r="Q285" s="80"/>
    </row>
    <row r="286" spans="1:17" s="36" customFormat="1" ht="32.25" hidden="1" customHeight="1">
      <c r="A286" s="100">
        <v>278</v>
      </c>
      <c r="B286" s="239"/>
      <c r="C286" s="257"/>
      <c r="D286" s="52"/>
      <c r="E286" s="49"/>
      <c r="F286" s="51"/>
      <c r="G286" s="112">
        <f t="shared" si="6"/>
        <v>0</v>
      </c>
      <c r="H286" s="50"/>
      <c r="I286" s="49"/>
      <c r="J286" s="48"/>
      <c r="K286" s="47"/>
      <c r="L286" s="112">
        <f t="shared" si="7"/>
        <v>0</v>
      </c>
      <c r="M286" s="134"/>
      <c r="N286" s="46"/>
      <c r="O286" s="131"/>
      <c r="P286" s="45"/>
      <c r="Q286" s="80"/>
    </row>
    <row r="287" spans="1:17" s="36" customFormat="1" ht="32.25" hidden="1" customHeight="1">
      <c r="A287" s="100">
        <v>279</v>
      </c>
      <c r="B287" s="239"/>
      <c r="C287" s="257"/>
      <c r="D287" s="52"/>
      <c r="E287" s="49"/>
      <c r="F287" s="51"/>
      <c r="G287" s="112">
        <f t="shared" si="6"/>
        <v>0</v>
      </c>
      <c r="H287" s="50"/>
      <c r="I287" s="49"/>
      <c r="J287" s="48"/>
      <c r="K287" s="47"/>
      <c r="L287" s="112">
        <f t="shared" si="7"/>
        <v>0</v>
      </c>
      <c r="M287" s="134"/>
      <c r="N287" s="46"/>
      <c r="O287" s="131"/>
      <c r="P287" s="45"/>
      <c r="Q287" s="80"/>
    </row>
    <row r="288" spans="1:17" s="36" customFormat="1" ht="32.25" hidden="1" customHeight="1">
      <c r="A288" s="100">
        <v>280</v>
      </c>
      <c r="B288" s="239"/>
      <c r="C288" s="257"/>
      <c r="D288" s="52"/>
      <c r="E288" s="49"/>
      <c r="F288" s="51"/>
      <c r="G288" s="112">
        <f t="shared" si="6"/>
        <v>0</v>
      </c>
      <c r="H288" s="50"/>
      <c r="I288" s="49"/>
      <c r="J288" s="48"/>
      <c r="K288" s="47"/>
      <c r="L288" s="112">
        <f t="shared" si="7"/>
        <v>0</v>
      </c>
      <c r="M288" s="134"/>
      <c r="N288" s="46"/>
      <c r="O288" s="131"/>
      <c r="P288" s="45"/>
      <c r="Q288" s="80"/>
    </row>
    <row r="289" spans="1:17" s="36" customFormat="1" ht="32.25" hidden="1" customHeight="1">
      <c r="A289" s="100">
        <v>281</v>
      </c>
      <c r="B289" s="239"/>
      <c r="C289" s="257"/>
      <c r="D289" s="52"/>
      <c r="E289" s="49"/>
      <c r="F289" s="51"/>
      <c r="G289" s="112">
        <f t="shared" si="6"/>
        <v>0</v>
      </c>
      <c r="H289" s="50"/>
      <c r="I289" s="49"/>
      <c r="J289" s="48"/>
      <c r="K289" s="47"/>
      <c r="L289" s="112">
        <f t="shared" si="7"/>
        <v>0</v>
      </c>
      <c r="M289" s="134"/>
      <c r="N289" s="46"/>
      <c r="O289" s="131"/>
      <c r="P289" s="45"/>
      <c r="Q289" s="80"/>
    </row>
    <row r="290" spans="1:17" s="36" customFormat="1" ht="32.25" hidden="1" customHeight="1">
      <c r="A290" s="100">
        <v>282</v>
      </c>
      <c r="B290" s="239"/>
      <c r="C290" s="257"/>
      <c r="D290" s="52"/>
      <c r="E290" s="49"/>
      <c r="F290" s="51"/>
      <c r="G290" s="112">
        <f t="shared" si="6"/>
        <v>0</v>
      </c>
      <c r="H290" s="50"/>
      <c r="I290" s="49"/>
      <c r="J290" s="48"/>
      <c r="K290" s="47"/>
      <c r="L290" s="112">
        <f t="shared" si="7"/>
        <v>0</v>
      </c>
      <c r="M290" s="134"/>
      <c r="N290" s="46"/>
      <c r="O290" s="131"/>
      <c r="P290" s="45"/>
      <c r="Q290" s="80"/>
    </row>
    <row r="291" spans="1:17" s="36" customFormat="1" ht="32.25" hidden="1" customHeight="1">
      <c r="A291" s="100">
        <v>283</v>
      </c>
      <c r="B291" s="239"/>
      <c r="C291" s="257"/>
      <c r="D291" s="52"/>
      <c r="E291" s="49"/>
      <c r="F291" s="51"/>
      <c r="G291" s="112">
        <f t="shared" si="6"/>
        <v>0</v>
      </c>
      <c r="H291" s="50"/>
      <c r="I291" s="49"/>
      <c r="J291" s="48"/>
      <c r="K291" s="47"/>
      <c r="L291" s="112">
        <f t="shared" si="7"/>
        <v>0</v>
      </c>
      <c r="M291" s="134"/>
      <c r="N291" s="46"/>
      <c r="O291" s="131"/>
      <c r="P291" s="45"/>
      <c r="Q291" s="80"/>
    </row>
    <row r="292" spans="1:17" s="36" customFormat="1" ht="32.25" hidden="1" customHeight="1">
      <c r="A292" s="100">
        <v>284</v>
      </c>
      <c r="B292" s="239"/>
      <c r="C292" s="257"/>
      <c r="D292" s="52"/>
      <c r="E292" s="49"/>
      <c r="F292" s="51"/>
      <c r="G292" s="112">
        <f t="shared" si="6"/>
        <v>0</v>
      </c>
      <c r="H292" s="50"/>
      <c r="I292" s="49"/>
      <c r="J292" s="48"/>
      <c r="K292" s="47"/>
      <c r="L292" s="112">
        <f t="shared" si="7"/>
        <v>0</v>
      </c>
      <c r="M292" s="134"/>
      <c r="N292" s="46"/>
      <c r="O292" s="131"/>
      <c r="P292" s="45"/>
      <c r="Q292" s="80"/>
    </row>
    <row r="293" spans="1:17" s="36" customFormat="1" ht="32.25" hidden="1" customHeight="1">
      <c r="A293" s="100">
        <v>285</v>
      </c>
      <c r="B293" s="239"/>
      <c r="C293" s="257"/>
      <c r="D293" s="52"/>
      <c r="E293" s="49"/>
      <c r="F293" s="51"/>
      <c r="G293" s="112">
        <f t="shared" si="6"/>
        <v>0</v>
      </c>
      <c r="H293" s="50"/>
      <c r="I293" s="49"/>
      <c r="J293" s="48"/>
      <c r="K293" s="47"/>
      <c r="L293" s="112">
        <f t="shared" si="7"/>
        <v>0</v>
      </c>
      <c r="M293" s="134"/>
      <c r="N293" s="46"/>
      <c r="O293" s="131"/>
      <c r="P293" s="45"/>
      <c r="Q293" s="80"/>
    </row>
    <row r="294" spans="1:17" s="36" customFormat="1" ht="32.25" hidden="1" customHeight="1">
      <c r="A294" s="100">
        <v>286</v>
      </c>
      <c r="B294" s="239"/>
      <c r="C294" s="257"/>
      <c r="D294" s="52"/>
      <c r="E294" s="49"/>
      <c r="F294" s="51"/>
      <c r="G294" s="112">
        <f t="shared" si="6"/>
        <v>0</v>
      </c>
      <c r="H294" s="50"/>
      <c r="I294" s="49"/>
      <c r="J294" s="48"/>
      <c r="K294" s="47"/>
      <c r="L294" s="112">
        <f t="shared" si="7"/>
        <v>0</v>
      </c>
      <c r="M294" s="134"/>
      <c r="N294" s="46"/>
      <c r="O294" s="131"/>
      <c r="P294" s="45"/>
      <c r="Q294" s="80"/>
    </row>
    <row r="295" spans="1:17" s="36" customFormat="1" ht="32.25" hidden="1" customHeight="1">
      <c r="A295" s="100">
        <v>287</v>
      </c>
      <c r="B295" s="239"/>
      <c r="C295" s="257"/>
      <c r="D295" s="52"/>
      <c r="E295" s="49"/>
      <c r="F295" s="51"/>
      <c r="G295" s="112">
        <f t="shared" si="6"/>
        <v>0</v>
      </c>
      <c r="H295" s="50"/>
      <c r="I295" s="49"/>
      <c r="J295" s="48"/>
      <c r="K295" s="47"/>
      <c r="L295" s="112">
        <f t="shared" si="7"/>
        <v>0</v>
      </c>
      <c r="M295" s="134"/>
      <c r="N295" s="46"/>
      <c r="O295" s="131"/>
      <c r="P295" s="45"/>
      <c r="Q295" s="80"/>
    </row>
    <row r="296" spans="1:17" s="36" customFormat="1" ht="32.25" hidden="1" customHeight="1">
      <c r="A296" s="100">
        <v>288</v>
      </c>
      <c r="B296" s="239"/>
      <c r="C296" s="257"/>
      <c r="D296" s="52"/>
      <c r="E296" s="49"/>
      <c r="F296" s="51"/>
      <c r="G296" s="112">
        <f t="shared" si="6"/>
        <v>0</v>
      </c>
      <c r="H296" s="50"/>
      <c r="I296" s="49"/>
      <c r="J296" s="48"/>
      <c r="K296" s="47"/>
      <c r="L296" s="112">
        <f t="shared" si="7"/>
        <v>0</v>
      </c>
      <c r="M296" s="134"/>
      <c r="N296" s="46"/>
      <c r="O296" s="131"/>
      <c r="P296" s="45"/>
      <c r="Q296" s="80"/>
    </row>
    <row r="297" spans="1:17" s="36" customFormat="1" ht="32.25" hidden="1" customHeight="1">
      <c r="A297" s="100">
        <v>289</v>
      </c>
      <c r="B297" s="239"/>
      <c r="C297" s="257"/>
      <c r="D297" s="52"/>
      <c r="E297" s="49"/>
      <c r="F297" s="51"/>
      <c r="G297" s="112">
        <f t="shared" si="6"/>
        <v>0</v>
      </c>
      <c r="H297" s="50"/>
      <c r="I297" s="49"/>
      <c r="J297" s="48"/>
      <c r="K297" s="47"/>
      <c r="L297" s="112">
        <f t="shared" si="7"/>
        <v>0</v>
      </c>
      <c r="M297" s="134"/>
      <c r="N297" s="46"/>
      <c r="O297" s="131"/>
      <c r="P297" s="45"/>
      <c r="Q297" s="80"/>
    </row>
    <row r="298" spans="1:17" s="36" customFormat="1" ht="32.25" hidden="1" customHeight="1">
      <c r="A298" s="100">
        <v>290</v>
      </c>
      <c r="B298" s="239"/>
      <c r="C298" s="257"/>
      <c r="D298" s="52"/>
      <c r="E298" s="49"/>
      <c r="F298" s="51"/>
      <c r="G298" s="112">
        <f t="shared" si="6"/>
        <v>0</v>
      </c>
      <c r="H298" s="50"/>
      <c r="I298" s="49"/>
      <c r="J298" s="48"/>
      <c r="K298" s="47"/>
      <c r="L298" s="112">
        <f t="shared" si="7"/>
        <v>0</v>
      </c>
      <c r="M298" s="134"/>
      <c r="N298" s="46"/>
      <c r="O298" s="131"/>
      <c r="P298" s="45"/>
      <c r="Q298" s="80"/>
    </row>
    <row r="299" spans="1:17" s="36" customFormat="1" ht="32.25" hidden="1" customHeight="1">
      <c r="A299" s="100">
        <v>291</v>
      </c>
      <c r="B299" s="239"/>
      <c r="C299" s="257"/>
      <c r="D299" s="52"/>
      <c r="E299" s="49"/>
      <c r="F299" s="51"/>
      <c r="G299" s="112">
        <f t="shared" si="6"/>
        <v>0</v>
      </c>
      <c r="H299" s="50"/>
      <c r="I299" s="49"/>
      <c r="J299" s="48"/>
      <c r="K299" s="47"/>
      <c r="L299" s="112">
        <f t="shared" si="7"/>
        <v>0</v>
      </c>
      <c r="M299" s="134"/>
      <c r="N299" s="46"/>
      <c r="O299" s="131"/>
      <c r="P299" s="45"/>
      <c r="Q299" s="80"/>
    </row>
    <row r="300" spans="1:17" s="36" customFormat="1" ht="32.25" hidden="1" customHeight="1">
      <c r="A300" s="100">
        <v>292</v>
      </c>
      <c r="B300" s="239"/>
      <c r="C300" s="257"/>
      <c r="D300" s="52"/>
      <c r="E300" s="49"/>
      <c r="F300" s="51"/>
      <c r="G300" s="112">
        <f t="shared" si="6"/>
        <v>0</v>
      </c>
      <c r="H300" s="50"/>
      <c r="I300" s="49"/>
      <c r="J300" s="48"/>
      <c r="K300" s="47"/>
      <c r="L300" s="112">
        <f t="shared" si="7"/>
        <v>0</v>
      </c>
      <c r="M300" s="134"/>
      <c r="N300" s="46"/>
      <c r="O300" s="131"/>
      <c r="P300" s="45"/>
      <c r="Q300" s="80"/>
    </row>
    <row r="301" spans="1:17" s="36" customFormat="1" ht="32.25" hidden="1" customHeight="1">
      <c r="A301" s="100">
        <v>293</v>
      </c>
      <c r="B301" s="239"/>
      <c r="C301" s="257"/>
      <c r="D301" s="52"/>
      <c r="E301" s="49"/>
      <c r="F301" s="51"/>
      <c r="G301" s="112">
        <f t="shared" si="6"/>
        <v>0</v>
      </c>
      <c r="H301" s="50"/>
      <c r="I301" s="49"/>
      <c r="J301" s="48"/>
      <c r="K301" s="47"/>
      <c r="L301" s="112">
        <f t="shared" si="7"/>
        <v>0</v>
      </c>
      <c r="M301" s="134"/>
      <c r="N301" s="46"/>
      <c r="O301" s="131"/>
      <c r="P301" s="45"/>
      <c r="Q301" s="80"/>
    </row>
    <row r="302" spans="1:17" s="36" customFormat="1" ht="32.25" hidden="1" customHeight="1">
      <c r="A302" s="100">
        <v>294</v>
      </c>
      <c r="B302" s="239"/>
      <c r="C302" s="257"/>
      <c r="D302" s="52"/>
      <c r="E302" s="49"/>
      <c r="F302" s="51"/>
      <c r="G302" s="112">
        <f t="shared" si="6"/>
        <v>0</v>
      </c>
      <c r="H302" s="50"/>
      <c r="I302" s="49"/>
      <c r="J302" s="48"/>
      <c r="K302" s="47"/>
      <c r="L302" s="112">
        <f t="shared" si="7"/>
        <v>0</v>
      </c>
      <c r="M302" s="134"/>
      <c r="N302" s="46"/>
      <c r="O302" s="131"/>
      <c r="P302" s="45"/>
      <c r="Q302" s="80"/>
    </row>
    <row r="303" spans="1:17" s="36" customFormat="1" ht="32.25" hidden="1" customHeight="1">
      <c r="A303" s="100">
        <v>295</v>
      </c>
      <c r="B303" s="239"/>
      <c r="C303" s="257"/>
      <c r="D303" s="52"/>
      <c r="E303" s="49"/>
      <c r="F303" s="51"/>
      <c r="G303" s="112">
        <f t="shared" si="6"/>
        <v>0</v>
      </c>
      <c r="H303" s="50"/>
      <c r="I303" s="49"/>
      <c r="J303" s="48"/>
      <c r="K303" s="47"/>
      <c r="L303" s="112">
        <f t="shared" si="7"/>
        <v>0</v>
      </c>
      <c r="M303" s="134"/>
      <c r="N303" s="46"/>
      <c r="O303" s="131"/>
      <c r="P303" s="45"/>
      <c r="Q303" s="80"/>
    </row>
    <row r="304" spans="1:17" s="36" customFormat="1" ht="32.25" hidden="1" customHeight="1">
      <c r="A304" s="100">
        <v>296</v>
      </c>
      <c r="B304" s="239"/>
      <c r="C304" s="257"/>
      <c r="D304" s="52"/>
      <c r="E304" s="49"/>
      <c r="F304" s="51"/>
      <c r="G304" s="112">
        <f t="shared" si="6"/>
        <v>0</v>
      </c>
      <c r="H304" s="50"/>
      <c r="I304" s="49"/>
      <c r="J304" s="48"/>
      <c r="K304" s="47"/>
      <c r="L304" s="112">
        <f t="shared" si="7"/>
        <v>0</v>
      </c>
      <c r="M304" s="134"/>
      <c r="N304" s="46"/>
      <c r="O304" s="131"/>
      <c r="P304" s="45"/>
      <c r="Q304" s="80"/>
    </row>
    <row r="305" spans="1:17" s="36" customFormat="1" ht="32.25" hidden="1" customHeight="1">
      <c r="A305" s="100">
        <v>297</v>
      </c>
      <c r="B305" s="239"/>
      <c r="C305" s="257"/>
      <c r="D305" s="52"/>
      <c r="E305" s="49"/>
      <c r="F305" s="51"/>
      <c r="G305" s="112">
        <f t="shared" si="6"/>
        <v>0</v>
      </c>
      <c r="H305" s="50"/>
      <c r="I305" s="49"/>
      <c r="J305" s="48"/>
      <c r="K305" s="47"/>
      <c r="L305" s="112">
        <f t="shared" si="7"/>
        <v>0</v>
      </c>
      <c r="M305" s="134"/>
      <c r="N305" s="46"/>
      <c r="O305" s="131"/>
      <c r="P305" s="45"/>
      <c r="Q305" s="80"/>
    </row>
    <row r="306" spans="1:17" s="36" customFormat="1" ht="32.25" hidden="1" customHeight="1">
      <c r="A306" s="100">
        <v>298</v>
      </c>
      <c r="B306" s="239"/>
      <c r="C306" s="257"/>
      <c r="D306" s="52"/>
      <c r="E306" s="49"/>
      <c r="F306" s="51"/>
      <c r="G306" s="112">
        <f t="shared" si="6"/>
        <v>0</v>
      </c>
      <c r="H306" s="50"/>
      <c r="I306" s="49"/>
      <c r="J306" s="48"/>
      <c r="K306" s="47"/>
      <c r="L306" s="112">
        <f t="shared" si="7"/>
        <v>0</v>
      </c>
      <c r="M306" s="134"/>
      <c r="N306" s="46"/>
      <c r="O306" s="131"/>
      <c r="P306" s="45"/>
      <c r="Q306" s="80"/>
    </row>
    <row r="307" spans="1:17" s="36" customFormat="1" ht="32.25" hidden="1" customHeight="1">
      <c r="A307" s="100">
        <v>299</v>
      </c>
      <c r="B307" s="239"/>
      <c r="C307" s="257"/>
      <c r="D307" s="52"/>
      <c r="E307" s="49"/>
      <c r="F307" s="51"/>
      <c r="G307" s="112">
        <f t="shared" si="6"/>
        <v>0</v>
      </c>
      <c r="H307" s="50"/>
      <c r="I307" s="49"/>
      <c r="J307" s="48"/>
      <c r="K307" s="47"/>
      <c r="L307" s="112">
        <f t="shared" si="7"/>
        <v>0</v>
      </c>
      <c r="M307" s="134"/>
      <c r="N307" s="46"/>
      <c r="O307" s="131"/>
      <c r="P307" s="45"/>
      <c r="Q307" s="80"/>
    </row>
    <row r="308" spans="1:17" s="36" customFormat="1" ht="32.25" hidden="1" customHeight="1">
      <c r="A308" s="100">
        <v>300</v>
      </c>
      <c r="B308" s="239"/>
      <c r="C308" s="257"/>
      <c r="D308" s="52"/>
      <c r="E308" s="49"/>
      <c r="F308" s="51"/>
      <c r="G308" s="112">
        <f t="shared" si="6"/>
        <v>0</v>
      </c>
      <c r="H308" s="50"/>
      <c r="I308" s="49"/>
      <c r="J308" s="48"/>
      <c r="K308" s="47"/>
      <c r="L308" s="112">
        <f t="shared" si="7"/>
        <v>0</v>
      </c>
      <c r="M308" s="134"/>
      <c r="N308" s="46"/>
      <c r="O308" s="131"/>
      <c r="P308" s="45"/>
      <c r="Q308" s="80"/>
    </row>
    <row r="309" spans="1:17" s="36" customFormat="1" ht="32.25" hidden="1" customHeight="1">
      <c r="A309" s="100">
        <v>301</v>
      </c>
      <c r="B309" s="239"/>
      <c r="C309" s="257"/>
      <c r="D309" s="52"/>
      <c r="E309" s="49"/>
      <c r="F309" s="51"/>
      <c r="G309" s="112">
        <f t="shared" si="6"/>
        <v>0</v>
      </c>
      <c r="H309" s="50"/>
      <c r="I309" s="49"/>
      <c r="J309" s="48"/>
      <c r="K309" s="47"/>
      <c r="L309" s="112">
        <f t="shared" si="7"/>
        <v>0</v>
      </c>
      <c r="M309" s="134"/>
      <c r="N309" s="46"/>
      <c r="O309" s="131"/>
      <c r="P309" s="45"/>
      <c r="Q309" s="80"/>
    </row>
    <row r="310" spans="1:17" s="36" customFormat="1" ht="32.25" hidden="1" customHeight="1">
      <c r="A310" s="100">
        <v>302</v>
      </c>
      <c r="B310" s="239"/>
      <c r="C310" s="257"/>
      <c r="D310" s="52"/>
      <c r="E310" s="49"/>
      <c r="F310" s="51"/>
      <c r="G310" s="112">
        <f t="shared" si="6"/>
        <v>0</v>
      </c>
      <c r="H310" s="50"/>
      <c r="I310" s="49"/>
      <c r="J310" s="48"/>
      <c r="K310" s="47"/>
      <c r="L310" s="112">
        <f t="shared" si="7"/>
        <v>0</v>
      </c>
      <c r="M310" s="134"/>
      <c r="N310" s="46"/>
      <c r="O310" s="131"/>
      <c r="P310" s="45"/>
      <c r="Q310" s="80"/>
    </row>
    <row r="311" spans="1:17" s="36" customFormat="1" ht="32.25" hidden="1" customHeight="1">
      <c r="A311" s="100">
        <v>303</v>
      </c>
      <c r="B311" s="239"/>
      <c r="C311" s="257"/>
      <c r="D311" s="52"/>
      <c r="E311" s="49"/>
      <c r="F311" s="51"/>
      <c r="G311" s="112">
        <f t="shared" si="6"/>
        <v>0</v>
      </c>
      <c r="H311" s="50"/>
      <c r="I311" s="49"/>
      <c r="J311" s="48"/>
      <c r="K311" s="47"/>
      <c r="L311" s="112">
        <f t="shared" si="7"/>
        <v>0</v>
      </c>
      <c r="M311" s="134"/>
      <c r="N311" s="46"/>
      <c r="O311" s="131"/>
      <c r="P311" s="45"/>
      <c r="Q311" s="80"/>
    </row>
    <row r="312" spans="1:17" s="36" customFormat="1" ht="32.25" hidden="1" customHeight="1">
      <c r="A312" s="100">
        <v>304</v>
      </c>
      <c r="B312" s="239"/>
      <c r="C312" s="257"/>
      <c r="D312" s="52"/>
      <c r="E312" s="49"/>
      <c r="F312" s="51"/>
      <c r="G312" s="112">
        <f t="shared" si="6"/>
        <v>0</v>
      </c>
      <c r="H312" s="50"/>
      <c r="I312" s="49"/>
      <c r="J312" s="48"/>
      <c r="K312" s="47"/>
      <c r="L312" s="112">
        <f t="shared" si="7"/>
        <v>0</v>
      </c>
      <c r="M312" s="134"/>
      <c r="N312" s="46"/>
      <c r="O312" s="131"/>
      <c r="P312" s="45"/>
      <c r="Q312" s="80"/>
    </row>
    <row r="313" spans="1:17" s="36" customFormat="1" ht="32.25" hidden="1" customHeight="1">
      <c r="A313" s="100">
        <v>305</v>
      </c>
      <c r="B313" s="239"/>
      <c r="C313" s="257"/>
      <c r="D313" s="52"/>
      <c r="E313" s="49"/>
      <c r="F313" s="51"/>
      <c r="G313" s="112">
        <f t="shared" si="6"/>
        <v>0</v>
      </c>
      <c r="H313" s="50"/>
      <c r="I313" s="49"/>
      <c r="J313" s="48"/>
      <c r="K313" s="47"/>
      <c r="L313" s="112">
        <f t="shared" si="7"/>
        <v>0</v>
      </c>
      <c r="M313" s="134"/>
      <c r="N313" s="46"/>
      <c r="O313" s="131"/>
      <c r="P313" s="45"/>
      <c r="Q313" s="80"/>
    </row>
    <row r="314" spans="1:17" s="36" customFormat="1" ht="32.25" hidden="1" customHeight="1">
      <c r="A314" s="100">
        <v>306</v>
      </c>
      <c r="B314" s="239"/>
      <c r="C314" s="257"/>
      <c r="D314" s="52"/>
      <c r="E314" s="49"/>
      <c r="F314" s="51"/>
      <c r="G314" s="112">
        <f t="shared" si="6"/>
        <v>0</v>
      </c>
      <c r="H314" s="50"/>
      <c r="I314" s="49"/>
      <c r="J314" s="48"/>
      <c r="K314" s="47"/>
      <c r="L314" s="112">
        <f t="shared" si="7"/>
        <v>0</v>
      </c>
      <c r="M314" s="134"/>
      <c r="N314" s="46"/>
      <c r="O314" s="131"/>
      <c r="P314" s="45"/>
      <c r="Q314" s="80"/>
    </row>
    <row r="315" spans="1:17" s="36" customFormat="1" ht="32.25" hidden="1" customHeight="1">
      <c r="A315" s="100">
        <v>307</v>
      </c>
      <c r="B315" s="239"/>
      <c r="C315" s="257"/>
      <c r="D315" s="52"/>
      <c r="E315" s="49"/>
      <c r="F315" s="51"/>
      <c r="G315" s="112">
        <f t="shared" si="6"/>
        <v>0</v>
      </c>
      <c r="H315" s="50"/>
      <c r="I315" s="49"/>
      <c r="J315" s="48"/>
      <c r="K315" s="47"/>
      <c r="L315" s="112">
        <f t="shared" si="7"/>
        <v>0</v>
      </c>
      <c r="M315" s="134"/>
      <c r="N315" s="46"/>
      <c r="O315" s="131"/>
      <c r="P315" s="45"/>
      <c r="Q315" s="80"/>
    </row>
    <row r="316" spans="1:17" s="36" customFormat="1" ht="32.25" hidden="1" customHeight="1">
      <c r="A316" s="100">
        <v>308</v>
      </c>
      <c r="B316" s="239"/>
      <c r="C316" s="257"/>
      <c r="D316" s="52"/>
      <c r="E316" s="49"/>
      <c r="F316" s="51"/>
      <c r="G316" s="112">
        <f t="shared" si="6"/>
        <v>0</v>
      </c>
      <c r="H316" s="50"/>
      <c r="I316" s="49"/>
      <c r="J316" s="48"/>
      <c r="K316" s="47"/>
      <c r="L316" s="112">
        <f t="shared" si="7"/>
        <v>0</v>
      </c>
      <c r="M316" s="134"/>
      <c r="N316" s="46"/>
      <c r="O316" s="131"/>
      <c r="P316" s="45"/>
      <c r="Q316" s="80"/>
    </row>
    <row r="317" spans="1:17" s="36" customFormat="1" ht="32.25" hidden="1" customHeight="1">
      <c r="A317" s="100">
        <v>309</v>
      </c>
      <c r="B317" s="239"/>
      <c r="C317" s="257"/>
      <c r="D317" s="52"/>
      <c r="E317" s="49"/>
      <c r="F317" s="51"/>
      <c r="G317" s="112">
        <f t="shared" si="6"/>
        <v>0</v>
      </c>
      <c r="H317" s="50"/>
      <c r="I317" s="49"/>
      <c r="J317" s="48"/>
      <c r="K317" s="47"/>
      <c r="L317" s="112">
        <f t="shared" si="7"/>
        <v>0</v>
      </c>
      <c r="M317" s="134"/>
      <c r="N317" s="46"/>
      <c r="O317" s="131"/>
      <c r="P317" s="45"/>
      <c r="Q317" s="80"/>
    </row>
    <row r="318" spans="1:17" s="36" customFormat="1" ht="32.25" hidden="1" customHeight="1">
      <c r="A318" s="100">
        <v>310</v>
      </c>
      <c r="B318" s="239"/>
      <c r="C318" s="257"/>
      <c r="D318" s="52"/>
      <c r="E318" s="49"/>
      <c r="F318" s="51"/>
      <c r="G318" s="112">
        <f t="shared" si="6"/>
        <v>0</v>
      </c>
      <c r="H318" s="50"/>
      <c r="I318" s="49"/>
      <c r="J318" s="48"/>
      <c r="K318" s="47"/>
      <c r="L318" s="112">
        <f t="shared" si="7"/>
        <v>0</v>
      </c>
      <c r="M318" s="134"/>
      <c r="N318" s="46"/>
      <c r="O318" s="131"/>
      <c r="P318" s="45"/>
      <c r="Q318" s="80"/>
    </row>
    <row r="319" spans="1:17" s="36" customFormat="1" ht="32.25" hidden="1" customHeight="1">
      <c r="A319" s="100">
        <v>311</v>
      </c>
      <c r="B319" s="239"/>
      <c r="C319" s="257"/>
      <c r="D319" s="52"/>
      <c r="E319" s="49"/>
      <c r="F319" s="51"/>
      <c r="G319" s="112">
        <f t="shared" si="6"/>
        <v>0</v>
      </c>
      <c r="H319" s="50"/>
      <c r="I319" s="49"/>
      <c r="J319" s="48"/>
      <c r="K319" s="47"/>
      <c r="L319" s="112">
        <f t="shared" si="7"/>
        <v>0</v>
      </c>
      <c r="M319" s="134"/>
      <c r="N319" s="46"/>
      <c r="O319" s="131"/>
      <c r="P319" s="45"/>
      <c r="Q319" s="80"/>
    </row>
    <row r="320" spans="1:17" s="36" customFormat="1" ht="32.25" hidden="1" customHeight="1">
      <c r="A320" s="100">
        <v>312</v>
      </c>
      <c r="B320" s="239"/>
      <c r="C320" s="257"/>
      <c r="D320" s="52"/>
      <c r="E320" s="49"/>
      <c r="F320" s="51"/>
      <c r="G320" s="112">
        <f t="shared" si="6"/>
        <v>0</v>
      </c>
      <c r="H320" s="50"/>
      <c r="I320" s="49"/>
      <c r="J320" s="48"/>
      <c r="K320" s="47"/>
      <c r="L320" s="112">
        <f t="shared" si="7"/>
        <v>0</v>
      </c>
      <c r="M320" s="134"/>
      <c r="N320" s="46"/>
      <c r="O320" s="131"/>
      <c r="P320" s="45"/>
      <c r="Q320" s="80"/>
    </row>
    <row r="321" spans="1:17" s="36" customFormat="1" ht="32.25" hidden="1" customHeight="1">
      <c r="A321" s="100">
        <v>313</v>
      </c>
      <c r="B321" s="239"/>
      <c r="C321" s="257"/>
      <c r="D321" s="52"/>
      <c r="E321" s="49"/>
      <c r="F321" s="51"/>
      <c r="G321" s="112">
        <f t="shared" si="6"/>
        <v>0</v>
      </c>
      <c r="H321" s="50"/>
      <c r="I321" s="49"/>
      <c r="J321" s="48"/>
      <c r="K321" s="47"/>
      <c r="L321" s="112">
        <f t="shared" si="7"/>
        <v>0</v>
      </c>
      <c r="M321" s="134"/>
      <c r="N321" s="46"/>
      <c r="O321" s="131"/>
      <c r="P321" s="45"/>
      <c r="Q321" s="80"/>
    </row>
    <row r="322" spans="1:17" s="36" customFormat="1" ht="32.25" hidden="1" customHeight="1">
      <c r="A322" s="100">
        <v>314</v>
      </c>
      <c r="B322" s="239"/>
      <c r="C322" s="257"/>
      <c r="D322" s="52"/>
      <c r="E322" s="49"/>
      <c r="F322" s="51"/>
      <c r="G322" s="112">
        <f t="shared" si="6"/>
        <v>0</v>
      </c>
      <c r="H322" s="50"/>
      <c r="I322" s="49"/>
      <c r="J322" s="48"/>
      <c r="K322" s="47"/>
      <c r="L322" s="112">
        <f t="shared" si="7"/>
        <v>0</v>
      </c>
      <c r="M322" s="134"/>
      <c r="N322" s="46"/>
      <c r="O322" s="131"/>
      <c r="P322" s="45"/>
      <c r="Q322" s="80"/>
    </row>
    <row r="323" spans="1:17" s="36" customFormat="1" ht="32.25" hidden="1" customHeight="1">
      <c r="A323" s="100">
        <v>315</v>
      </c>
      <c r="B323" s="239"/>
      <c r="C323" s="257"/>
      <c r="D323" s="52"/>
      <c r="E323" s="49"/>
      <c r="F323" s="51"/>
      <c r="G323" s="112">
        <f t="shared" si="6"/>
        <v>0</v>
      </c>
      <c r="H323" s="50"/>
      <c r="I323" s="49"/>
      <c r="J323" s="48"/>
      <c r="K323" s="47"/>
      <c r="L323" s="112">
        <f t="shared" si="7"/>
        <v>0</v>
      </c>
      <c r="M323" s="134"/>
      <c r="N323" s="46"/>
      <c r="O323" s="131"/>
      <c r="P323" s="45"/>
      <c r="Q323" s="80"/>
    </row>
    <row r="324" spans="1:17" s="36" customFormat="1" ht="32.25" hidden="1" customHeight="1">
      <c r="A324" s="100">
        <v>316</v>
      </c>
      <c r="B324" s="239"/>
      <c r="C324" s="257"/>
      <c r="D324" s="52"/>
      <c r="E324" s="49"/>
      <c r="F324" s="51"/>
      <c r="G324" s="112">
        <f t="shared" si="6"/>
        <v>0</v>
      </c>
      <c r="H324" s="50"/>
      <c r="I324" s="49"/>
      <c r="J324" s="48"/>
      <c r="K324" s="47"/>
      <c r="L324" s="112">
        <f t="shared" si="7"/>
        <v>0</v>
      </c>
      <c r="M324" s="134"/>
      <c r="N324" s="46"/>
      <c r="O324" s="131"/>
      <c r="P324" s="45"/>
      <c r="Q324" s="80"/>
    </row>
    <row r="325" spans="1:17" s="36" customFormat="1" ht="32.25" hidden="1" customHeight="1">
      <c r="A325" s="100">
        <v>317</v>
      </c>
      <c r="B325" s="239"/>
      <c r="C325" s="257"/>
      <c r="D325" s="52"/>
      <c r="E325" s="49"/>
      <c r="F325" s="51"/>
      <c r="G325" s="112">
        <f t="shared" si="6"/>
        <v>0</v>
      </c>
      <c r="H325" s="50"/>
      <c r="I325" s="49"/>
      <c r="J325" s="48"/>
      <c r="K325" s="47"/>
      <c r="L325" s="112">
        <f t="shared" si="7"/>
        <v>0</v>
      </c>
      <c r="M325" s="134"/>
      <c r="N325" s="46"/>
      <c r="O325" s="131"/>
      <c r="P325" s="45"/>
      <c r="Q325" s="80"/>
    </row>
    <row r="326" spans="1:17" s="36" customFormat="1" ht="32.25" hidden="1" customHeight="1">
      <c r="A326" s="100">
        <v>318</v>
      </c>
      <c r="B326" s="239"/>
      <c r="C326" s="257"/>
      <c r="D326" s="52"/>
      <c r="E326" s="49"/>
      <c r="F326" s="51"/>
      <c r="G326" s="112">
        <f t="shared" si="6"/>
        <v>0</v>
      </c>
      <c r="H326" s="50"/>
      <c r="I326" s="49"/>
      <c r="J326" s="48"/>
      <c r="K326" s="47"/>
      <c r="L326" s="112">
        <f t="shared" si="7"/>
        <v>0</v>
      </c>
      <c r="M326" s="134"/>
      <c r="N326" s="46"/>
      <c r="O326" s="131"/>
      <c r="P326" s="45"/>
      <c r="Q326" s="80"/>
    </row>
    <row r="327" spans="1:17" s="36" customFormat="1" ht="32.25" hidden="1" customHeight="1">
      <c r="A327" s="100">
        <v>319</v>
      </c>
      <c r="B327" s="239"/>
      <c r="C327" s="257"/>
      <c r="D327" s="52"/>
      <c r="E327" s="49"/>
      <c r="F327" s="51"/>
      <c r="G327" s="112">
        <f t="shared" si="6"/>
        <v>0</v>
      </c>
      <c r="H327" s="50"/>
      <c r="I327" s="49"/>
      <c r="J327" s="48"/>
      <c r="K327" s="47"/>
      <c r="L327" s="112">
        <f t="shared" si="7"/>
        <v>0</v>
      </c>
      <c r="M327" s="134"/>
      <c r="N327" s="46"/>
      <c r="O327" s="131"/>
      <c r="P327" s="45"/>
      <c r="Q327" s="80"/>
    </row>
    <row r="328" spans="1:17" s="36" customFormat="1" ht="32.25" hidden="1" customHeight="1">
      <c r="A328" s="100">
        <v>320</v>
      </c>
      <c r="B328" s="239"/>
      <c r="C328" s="257"/>
      <c r="D328" s="52"/>
      <c r="E328" s="49"/>
      <c r="F328" s="51"/>
      <c r="G328" s="112">
        <f t="shared" si="6"/>
        <v>0</v>
      </c>
      <c r="H328" s="50"/>
      <c r="I328" s="49"/>
      <c r="J328" s="48"/>
      <c r="K328" s="47"/>
      <c r="L328" s="112">
        <f t="shared" si="7"/>
        <v>0</v>
      </c>
      <c r="M328" s="134"/>
      <c r="N328" s="46"/>
      <c r="O328" s="131"/>
      <c r="P328" s="45"/>
      <c r="Q328" s="80"/>
    </row>
    <row r="329" spans="1:17" s="36" customFormat="1" ht="32.25" hidden="1" customHeight="1">
      <c r="A329" s="100">
        <v>321</v>
      </c>
      <c r="B329" s="239"/>
      <c r="C329" s="257"/>
      <c r="D329" s="52"/>
      <c r="E329" s="49"/>
      <c r="F329" s="51"/>
      <c r="G329" s="112">
        <f t="shared" si="6"/>
        <v>0</v>
      </c>
      <c r="H329" s="50"/>
      <c r="I329" s="49"/>
      <c r="J329" s="48"/>
      <c r="K329" s="47"/>
      <c r="L329" s="112">
        <f t="shared" si="7"/>
        <v>0</v>
      </c>
      <c r="M329" s="134"/>
      <c r="N329" s="46"/>
      <c r="O329" s="131"/>
      <c r="P329" s="45"/>
      <c r="Q329" s="80"/>
    </row>
    <row r="330" spans="1:17" s="36" customFormat="1" ht="32.25" hidden="1" customHeight="1">
      <c r="A330" s="100">
        <v>322</v>
      </c>
      <c r="B330" s="239"/>
      <c r="C330" s="257"/>
      <c r="D330" s="52"/>
      <c r="E330" s="49"/>
      <c r="F330" s="51"/>
      <c r="G330" s="112">
        <f t="shared" si="6"/>
        <v>0</v>
      </c>
      <c r="H330" s="50"/>
      <c r="I330" s="49"/>
      <c r="J330" s="48"/>
      <c r="K330" s="47"/>
      <c r="L330" s="112">
        <f t="shared" si="7"/>
        <v>0</v>
      </c>
      <c r="M330" s="134"/>
      <c r="N330" s="46"/>
      <c r="O330" s="131"/>
      <c r="P330" s="45"/>
      <c r="Q330" s="80"/>
    </row>
    <row r="331" spans="1:17" s="36" customFormat="1" ht="32.25" hidden="1" customHeight="1">
      <c r="A331" s="100">
        <v>323</v>
      </c>
      <c r="B331" s="239"/>
      <c r="C331" s="257"/>
      <c r="D331" s="52"/>
      <c r="E331" s="49"/>
      <c r="F331" s="51"/>
      <c r="G331" s="112">
        <f t="shared" si="6"/>
        <v>0</v>
      </c>
      <c r="H331" s="50"/>
      <c r="I331" s="49"/>
      <c r="J331" s="48"/>
      <c r="K331" s="47"/>
      <c r="L331" s="112">
        <f t="shared" si="7"/>
        <v>0</v>
      </c>
      <c r="M331" s="134"/>
      <c r="N331" s="46"/>
      <c r="O331" s="131"/>
      <c r="P331" s="45"/>
      <c r="Q331" s="80"/>
    </row>
    <row r="332" spans="1:17" s="36" customFormat="1" ht="32.25" hidden="1" customHeight="1">
      <c r="A332" s="100">
        <v>324</v>
      </c>
      <c r="B332" s="239"/>
      <c r="C332" s="257"/>
      <c r="D332" s="52"/>
      <c r="E332" s="49"/>
      <c r="F332" s="51"/>
      <c r="G332" s="112">
        <f t="shared" si="6"/>
        <v>0</v>
      </c>
      <c r="H332" s="50"/>
      <c r="I332" s="49"/>
      <c r="J332" s="48"/>
      <c r="K332" s="47"/>
      <c r="L332" s="112">
        <f t="shared" si="7"/>
        <v>0</v>
      </c>
      <c r="M332" s="134"/>
      <c r="N332" s="46"/>
      <c r="O332" s="131"/>
      <c r="P332" s="45"/>
      <c r="Q332" s="80"/>
    </row>
    <row r="333" spans="1:17" s="36" customFormat="1" ht="32.25" hidden="1" customHeight="1">
      <c r="A333" s="100">
        <v>325</v>
      </c>
      <c r="B333" s="239"/>
      <c r="C333" s="257"/>
      <c r="D333" s="52"/>
      <c r="E333" s="49"/>
      <c r="F333" s="51"/>
      <c r="G333" s="112">
        <f t="shared" si="6"/>
        <v>0</v>
      </c>
      <c r="H333" s="50"/>
      <c r="I333" s="49"/>
      <c r="J333" s="48"/>
      <c r="K333" s="47"/>
      <c r="L333" s="112">
        <f t="shared" si="7"/>
        <v>0</v>
      </c>
      <c r="M333" s="134"/>
      <c r="N333" s="46"/>
      <c r="O333" s="131"/>
      <c r="P333" s="45"/>
      <c r="Q333" s="80"/>
    </row>
    <row r="334" spans="1:17" s="36" customFormat="1" ht="32.25" hidden="1" customHeight="1">
      <c r="A334" s="100">
        <v>326</v>
      </c>
      <c r="B334" s="239"/>
      <c r="C334" s="257"/>
      <c r="D334" s="52"/>
      <c r="E334" s="49"/>
      <c r="F334" s="51"/>
      <c r="G334" s="112">
        <f t="shared" si="6"/>
        <v>0</v>
      </c>
      <c r="H334" s="50"/>
      <c r="I334" s="49"/>
      <c r="J334" s="48"/>
      <c r="K334" s="47"/>
      <c r="L334" s="112">
        <f t="shared" si="7"/>
        <v>0</v>
      </c>
      <c r="M334" s="134"/>
      <c r="N334" s="46"/>
      <c r="O334" s="131"/>
      <c r="P334" s="45"/>
      <c r="Q334" s="80"/>
    </row>
    <row r="335" spans="1:17" s="36" customFormat="1" ht="32.25" hidden="1" customHeight="1">
      <c r="A335" s="100">
        <v>327</v>
      </c>
      <c r="B335" s="239"/>
      <c r="C335" s="257"/>
      <c r="D335" s="52"/>
      <c r="E335" s="49"/>
      <c r="F335" s="51"/>
      <c r="G335" s="112">
        <f t="shared" si="6"/>
        <v>0</v>
      </c>
      <c r="H335" s="50"/>
      <c r="I335" s="49"/>
      <c r="J335" s="48"/>
      <c r="K335" s="47"/>
      <c r="L335" s="112">
        <f t="shared" si="7"/>
        <v>0</v>
      </c>
      <c r="M335" s="134"/>
      <c r="N335" s="46"/>
      <c r="O335" s="131"/>
      <c r="P335" s="45"/>
      <c r="Q335" s="80"/>
    </row>
    <row r="336" spans="1:17" s="36" customFormat="1" ht="32.25" hidden="1" customHeight="1">
      <c r="A336" s="100">
        <v>328</v>
      </c>
      <c r="B336" s="239"/>
      <c r="C336" s="257"/>
      <c r="D336" s="52"/>
      <c r="E336" s="49"/>
      <c r="F336" s="51"/>
      <c r="G336" s="112">
        <f t="shared" si="6"/>
        <v>0</v>
      </c>
      <c r="H336" s="50"/>
      <c r="I336" s="49"/>
      <c r="J336" s="48"/>
      <c r="K336" s="47"/>
      <c r="L336" s="112">
        <f t="shared" si="7"/>
        <v>0</v>
      </c>
      <c r="M336" s="134"/>
      <c r="N336" s="46"/>
      <c r="O336" s="131"/>
      <c r="P336" s="45"/>
      <c r="Q336" s="80"/>
    </row>
    <row r="337" spans="1:17" s="36" customFormat="1" ht="32.25" hidden="1" customHeight="1">
      <c r="A337" s="100">
        <v>329</v>
      </c>
      <c r="B337" s="239"/>
      <c r="C337" s="257"/>
      <c r="D337" s="52"/>
      <c r="E337" s="49"/>
      <c r="F337" s="51"/>
      <c r="G337" s="112">
        <f t="shared" si="6"/>
        <v>0</v>
      </c>
      <c r="H337" s="50"/>
      <c r="I337" s="49"/>
      <c r="J337" s="48"/>
      <c r="K337" s="47"/>
      <c r="L337" s="112">
        <f t="shared" si="7"/>
        <v>0</v>
      </c>
      <c r="M337" s="134"/>
      <c r="N337" s="46"/>
      <c r="O337" s="131"/>
      <c r="P337" s="45"/>
      <c r="Q337" s="80"/>
    </row>
    <row r="338" spans="1:17" s="36" customFormat="1" ht="32.25" hidden="1" customHeight="1">
      <c r="A338" s="100">
        <v>330</v>
      </c>
      <c r="B338" s="239"/>
      <c r="C338" s="257"/>
      <c r="D338" s="52"/>
      <c r="E338" s="49"/>
      <c r="F338" s="51"/>
      <c r="G338" s="112">
        <f t="shared" si="6"/>
        <v>0</v>
      </c>
      <c r="H338" s="50"/>
      <c r="I338" s="49"/>
      <c r="J338" s="48"/>
      <c r="K338" s="47"/>
      <c r="L338" s="112">
        <f t="shared" si="7"/>
        <v>0</v>
      </c>
      <c r="M338" s="134"/>
      <c r="N338" s="46"/>
      <c r="O338" s="131"/>
      <c r="P338" s="45"/>
      <c r="Q338" s="80"/>
    </row>
    <row r="339" spans="1:17" s="36" customFormat="1" ht="32.25" hidden="1" customHeight="1">
      <c r="A339" s="100">
        <v>331</v>
      </c>
      <c r="B339" s="239"/>
      <c r="C339" s="257"/>
      <c r="D339" s="52"/>
      <c r="E339" s="49"/>
      <c r="F339" s="51"/>
      <c r="G339" s="112">
        <f t="shared" si="6"/>
        <v>0</v>
      </c>
      <c r="H339" s="50"/>
      <c r="I339" s="49"/>
      <c r="J339" s="48"/>
      <c r="K339" s="47"/>
      <c r="L339" s="112">
        <f t="shared" si="7"/>
        <v>0</v>
      </c>
      <c r="M339" s="134"/>
      <c r="N339" s="46"/>
      <c r="O339" s="131"/>
      <c r="P339" s="45"/>
      <c r="Q339" s="80"/>
    </row>
    <row r="340" spans="1:17" s="36" customFormat="1" ht="32.25" hidden="1" customHeight="1">
      <c r="A340" s="100">
        <v>332</v>
      </c>
      <c r="B340" s="239"/>
      <c r="C340" s="257"/>
      <c r="D340" s="52"/>
      <c r="E340" s="49"/>
      <c r="F340" s="51"/>
      <c r="G340" s="112">
        <f t="shared" si="6"/>
        <v>0</v>
      </c>
      <c r="H340" s="50"/>
      <c r="I340" s="49"/>
      <c r="J340" s="48"/>
      <c r="K340" s="47"/>
      <c r="L340" s="112">
        <f t="shared" si="7"/>
        <v>0</v>
      </c>
      <c r="M340" s="134"/>
      <c r="N340" s="46"/>
      <c r="O340" s="131"/>
      <c r="P340" s="45"/>
      <c r="Q340" s="80"/>
    </row>
    <row r="341" spans="1:17" s="36" customFormat="1" ht="32.25" hidden="1" customHeight="1">
      <c r="A341" s="100">
        <v>333</v>
      </c>
      <c r="B341" s="239"/>
      <c r="C341" s="257"/>
      <c r="D341" s="52"/>
      <c r="E341" s="49"/>
      <c r="F341" s="51"/>
      <c r="G341" s="112">
        <f t="shared" si="6"/>
        <v>0</v>
      </c>
      <c r="H341" s="50"/>
      <c r="I341" s="49"/>
      <c r="J341" s="48"/>
      <c r="K341" s="47"/>
      <c r="L341" s="112">
        <f t="shared" si="7"/>
        <v>0</v>
      </c>
      <c r="M341" s="134"/>
      <c r="N341" s="46"/>
      <c r="O341" s="131"/>
      <c r="P341" s="45"/>
      <c r="Q341" s="80"/>
    </row>
    <row r="342" spans="1:17" s="36" customFormat="1" ht="32.25" hidden="1" customHeight="1">
      <c r="A342" s="100">
        <v>334</v>
      </c>
      <c r="B342" s="239"/>
      <c r="C342" s="257"/>
      <c r="D342" s="52"/>
      <c r="E342" s="49"/>
      <c r="F342" s="51"/>
      <c r="G342" s="112">
        <f t="shared" si="6"/>
        <v>0</v>
      </c>
      <c r="H342" s="50"/>
      <c r="I342" s="49"/>
      <c r="J342" s="48"/>
      <c r="K342" s="47"/>
      <c r="L342" s="112">
        <f t="shared" si="7"/>
        <v>0</v>
      </c>
      <c r="M342" s="134"/>
      <c r="N342" s="46"/>
      <c r="O342" s="131"/>
      <c r="P342" s="45"/>
      <c r="Q342" s="80"/>
    </row>
    <row r="343" spans="1:17" s="36" customFormat="1" ht="32.25" hidden="1" customHeight="1">
      <c r="A343" s="100">
        <v>335</v>
      </c>
      <c r="B343" s="239"/>
      <c r="C343" s="257"/>
      <c r="D343" s="52"/>
      <c r="E343" s="49"/>
      <c r="F343" s="51"/>
      <c r="G343" s="112">
        <f t="shared" si="6"/>
        <v>0</v>
      </c>
      <c r="H343" s="50"/>
      <c r="I343" s="49"/>
      <c r="J343" s="48"/>
      <c r="K343" s="47"/>
      <c r="L343" s="112">
        <f t="shared" si="7"/>
        <v>0</v>
      </c>
      <c r="M343" s="134"/>
      <c r="N343" s="46"/>
      <c r="O343" s="131"/>
      <c r="P343" s="45"/>
      <c r="Q343" s="80"/>
    </row>
    <row r="344" spans="1:17" s="36" customFormat="1" ht="32.25" hidden="1" customHeight="1">
      <c r="A344" s="100">
        <v>336</v>
      </c>
      <c r="B344" s="239"/>
      <c r="C344" s="257"/>
      <c r="D344" s="52"/>
      <c r="E344" s="49"/>
      <c r="F344" s="51"/>
      <c r="G344" s="112">
        <f t="shared" si="6"/>
        <v>0</v>
      </c>
      <c r="H344" s="50"/>
      <c r="I344" s="49"/>
      <c r="J344" s="48"/>
      <c r="K344" s="47"/>
      <c r="L344" s="112">
        <f t="shared" si="7"/>
        <v>0</v>
      </c>
      <c r="M344" s="134"/>
      <c r="N344" s="46"/>
      <c r="O344" s="131"/>
      <c r="P344" s="45"/>
      <c r="Q344" s="80"/>
    </row>
    <row r="345" spans="1:17" s="36" customFormat="1" ht="32.25" hidden="1" customHeight="1">
      <c r="A345" s="100">
        <v>337</v>
      </c>
      <c r="B345" s="239"/>
      <c r="C345" s="257"/>
      <c r="D345" s="52"/>
      <c r="E345" s="49"/>
      <c r="F345" s="51"/>
      <c r="G345" s="112">
        <f t="shared" si="6"/>
        <v>0</v>
      </c>
      <c r="H345" s="50"/>
      <c r="I345" s="49"/>
      <c r="J345" s="48"/>
      <c r="K345" s="47"/>
      <c r="L345" s="112">
        <f t="shared" si="7"/>
        <v>0</v>
      </c>
      <c r="M345" s="134"/>
      <c r="N345" s="46"/>
      <c r="O345" s="131"/>
      <c r="P345" s="45"/>
      <c r="Q345" s="80"/>
    </row>
    <row r="346" spans="1:17" s="36" customFormat="1" ht="32.25" hidden="1" customHeight="1">
      <c r="A346" s="100">
        <v>338</v>
      </c>
      <c r="B346" s="239"/>
      <c r="C346" s="257"/>
      <c r="D346" s="52"/>
      <c r="E346" s="49"/>
      <c r="F346" s="51"/>
      <c r="G346" s="112">
        <f t="shared" si="6"/>
        <v>0</v>
      </c>
      <c r="H346" s="50"/>
      <c r="I346" s="49"/>
      <c r="J346" s="48"/>
      <c r="K346" s="47"/>
      <c r="L346" s="112">
        <f t="shared" si="7"/>
        <v>0</v>
      </c>
      <c r="M346" s="134"/>
      <c r="N346" s="46"/>
      <c r="O346" s="131"/>
      <c r="P346" s="45"/>
      <c r="Q346" s="80"/>
    </row>
    <row r="347" spans="1:17" s="36" customFormat="1" ht="32.25" hidden="1" customHeight="1">
      <c r="A347" s="100">
        <v>339</v>
      </c>
      <c r="B347" s="239"/>
      <c r="C347" s="257"/>
      <c r="D347" s="52"/>
      <c r="E347" s="49"/>
      <c r="F347" s="51"/>
      <c r="G347" s="112">
        <f t="shared" si="6"/>
        <v>0</v>
      </c>
      <c r="H347" s="50"/>
      <c r="I347" s="49"/>
      <c r="J347" s="48"/>
      <c r="K347" s="47"/>
      <c r="L347" s="112">
        <f t="shared" si="7"/>
        <v>0</v>
      </c>
      <c r="M347" s="134"/>
      <c r="N347" s="46"/>
      <c r="O347" s="131"/>
      <c r="P347" s="45"/>
      <c r="Q347" s="80"/>
    </row>
    <row r="348" spans="1:17" s="36" customFormat="1" ht="32.25" hidden="1" customHeight="1">
      <c r="A348" s="100">
        <v>340</v>
      </c>
      <c r="B348" s="239"/>
      <c r="C348" s="257"/>
      <c r="D348" s="52"/>
      <c r="E348" s="49"/>
      <c r="F348" s="51"/>
      <c r="G348" s="112">
        <f t="shared" si="6"/>
        <v>0</v>
      </c>
      <c r="H348" s="50"/>
      <c r="I348" s="49"/>
      <c r="J348" s="48"/>
      <c r="K348" s="47"/>
      <c r="L348" s="112">
        <f t="shared" si="7"/>
        <v>0</v>
      </c>
      <c r="M348" s="134"/>
      <c r="N348" s="46"/>
      <c r="O348" s="131"/>
      <c r="P348" s="45"/>
      <c r="Q348" s="80"/>
    </row>
    <row r="349" spans="1:17" s="36" customFormat="1" ht="32.25" hidden="1" customHeight="1">
      <c r="A349" s="100">
        <v>341</v>
      </c>
      <c r="B349" s="239"/>
      <c r="C349" s="257"/>
      <c r="D349" s="52"/>
      <c r="E349" s="49"/>
      <c r="F349" s="51"/>
      <c r="G349" s="112">
        <f t="shared" si="6"/>
        <v>0</v>
      </c>
      <c r="H349" s="50"/>
      <c r="I349" s="49"/>
      <c r="J349" s="48"/>
      <c r="K349" s="47"/>
      <c r="L349" s="112">
        <f t="shared" si="7"/>
        <v>0</v>
      </c>
      <c r="M349" s="134"/>
      <c r="N349" s="46"/>
      <c r="O349" s="131"/>
      <c r="P349" s="45"/>
      <c r="Q349" s="80"/>
    </row>
    <row r="350" spans="1:17" s="36" customFormat="1" ht="32.25" hidden="1" customHeight="1">
      <c r="A350" s="100">
        <v>342</v>
      </c>
      <c r="B350" s="239"/>
      <c r="C350" s="257"/>
      <c r="D350" s="52"/>
      <c r="E350" s="49"/>
      <c r="F350" s="51"/>
      <c r="G350" s="112">
        <f t="shared" si="6"/>
        <v>0</v>
      </c>
      <c r="H350" s="50"/>
      <c r="I350" s="49"/>
      <c r="J350" s="48"/>
      <c r="K350" s="47"/>
      <c r="L350" s="112">
        <f t="shared" si="7"/>
        <v>0</v>
      </c>
      <c r="M350" s="134"/>
      <c r="N350" s="46"/>
      <c r="O350" s="131"/>
      <c r="P350" s="45"/>
      <c r="Q350" s="80"/>
    </row>
    <row r="351" spans="1:17" s="36" customFormat="1" ht="32.25" hidden="1" customHeight="1">
      <c r="A351" s="100">
        <v>343</v>
      </c>
      <c r="B351" s="239"/>
      <c r="C351" s="257"/>
      <c r="D351" s="52"/>
      <c r="E351" s="49"/>
      <c r="F351" s="51"/>
      <c r="G351" s="112">
        <f t="shared" si="6"/>
        <v>0</v>
      </c>
      <c r="H351" s="50"/>
      <c r="I351" s="49"/>
      <c r="J351" s="48"/>
      <c r="K351" s="47"/>
      <c r="L351" s="112">
        <f t="shared" si="7"/>
        <v>0</v>
      </c>
      <c r="M351" s="134"/>
      <c r="N351" s="46"/>
      <c r="O351" s="131"/>
      <c r="P351" s="45"/>
      <c r="Q351" s="80"/>
    </row>
    <row r="352" spans="1:17" s="36" customFormat="1" ht="32.25" hidden="1" customHeight="1">
      <c r="A352" s="100">
        <v>344</v>
      </c>
      <c r="B352" s="239"/>
      <c r="C352" s="257"/>
      <c r="D352" s="52"/>
      <c r="E352" s="49"/>
      <c r="F352" s="51"/>
      <c r="G352" s="112">
        <f t="shared" si="6"/>
        <v>0</v>
      </c>
      <c r="H352" s="50"/>
      <c r="I352" s="49"/>
      <c r="J352" s="48"/>
      <c r="K352" s="47"/>
      <c r="L352" s="112">
        <f t="shared" si="7"/>
        <v>0</v>
      </c>
      <c r="M352" s="134"/>
      <c r="N352" s="46"/>
      <c r="O352" s="131"/>
      <c r="P352" s="45"/>
      <c r="Q352" s="80"/>
    </row>
    <row r="353" spans="1:17" s="36" customFormat="1" ht="32.25" hidden="1" customHeight="1">
      <c r="A353" s="100">
        <v>345</v>
      </c>
      <c r="B353" s="239"/>
      <c r="C353" s="257"/>
      <c r="D353" s="52"/>
      <c r="E353" s="49"/>
      <c r="F353" s="51"/>
      <c r="G353" s="112">
        <f t="shared" si="6"/>
        <v>0</v>
      </c>
      <c r="H353" s="50"/>
      <c r="I353" s="49"/>
      <c r="J353" s="48"/>
      <c r="K353" s="47"/>
      <c r="L353" s="112">
        <f t="shared" si="7"/>
        <v>0</v>
      </c>
      <c r="M353" s="134"/>
      <c r="N353" s="46"/>
      <c r="O353" s="131"/>
      <c r="P353" s="45"/>
      <c r="Q353" s="80"/>
    </row>
    <row r="354" spans="1:17" s="36" customFormat="1" ht="32.25" hidden="1" customHeight="1">
      <c r="A354" s="100">
        <v>346</v>
      </c>
      <c r="B354" s="239"/>
      <c r="C354" s="257"/>
      <c r="D354" s="52"/>
      <c r="E354" s="49"/>
      <c r="F354" s="51"/>
      <c r="G354" s="112">
        <f t="shared" si="6"/>
        <v>0</v>
      </c>
      <c r="H354" s="50"/>
      <c r="I354" s="49"/>
      <c r="J354" s="48"/>
      <c r="K354" s="47"/>
      <c r="L354" s="112">
        <f t="shared" si="7"/>
        <v>0</v>
      </c>
      <c r="M354" s="134"/>
      <c r="N354" s="46"/>
      <c r="O354" s="131"/>
      <c r="P354" s="45"/>
      <c r="Q354" s="80"/>
    </row>
    <row r="355" spans="1:17" s="36" customFormat="1" ht="32.25" hidden="1" customHeight="1">
      <c r="A355" s="100">
        <v>347</v>
      </c>
      <c r="B355" s="239"/>
      <c r="C355" s="257"/>
      <c r="D355" s="52"/>
      <c r="E355" s="49"/>
      <c r="F355" s="51"/>
      <c r="G355" s="112">
        <f t="shared" si="6"/>
        <v>0</v>
      </c>
      <c r="H355" s="50"/>
      <c r="I355" s="49"/>
      <c r="J355" s="48"/>
      <c r="K355" s="47"/>
      <c r="L355" s="112">
        <f t="shared" si="7"/>
        <v>0</v>
      </c>
      <c r="M355" s="134"/>
      <c r="N355" s="46"/>
      <c r="O355" s="131"/>
      <c r="P355" s="45"/>
      <c r="Q355" s="80"/>
    </row>
    <row r="356" spans="1:17" s="36" customFormat="1" ht="32.25" hidden="1" customHeight="1">
      <c r="A356" s="100">
        <v>348</v>
      </c>
      <c r="B356" s="239"/>
      <c r="C356" s="257"/>
      <c r="D356" s="52"/>
      <c r="E356" s="49"/>
      <c r="F356" s="51"/>
      <c r="G356" s="112">
        <f t="shared" si="6"/>
        <v>0</v>
      </c>
      <c r="H356" s="50"/>
      <c r="I356" s="49"/>
      <c r="J356" s="48"/>
      <c r="K356" s="47"/>
      <c r="L356" s="112">
        <f t="shared" si="7"/>
        <v>0</v>
      </c>
      <c r="M356" s="134"/>
      <c r="N356" s="46"/>
      <c r="O356" s="131"/>
      <c r="P356" s="45"/>
      <c r="Q356" s="80"/>
    </row>
    <row r="357" spans="1:17" s="36" customFormat="1" ht="32.25" hidden="1" customHeight="1">
      <c r="A357" s="100">
        <v>349</v>
      </c>
      <c r="B357" s="239"/>
      <c r="C357" s="257"/>
      <c r="D357" s="52"/>
      <c r="E357" s="49"/>
      <c r="F357" s="51"/>
      <c r="G357" s="112">
        <f t="shared" si="6"/>
        <v>0</v>
      </c>
      <c r="H357" s="50"/>
      <c r="I357" s="49"/>
      <c r="J357" s="48"/>
      <c r="K357" s="47"/>
      <c r="L357" s="112">
        <f t="shared" si="7"/>
        <v>0</v>
      </c>
      <c r="M357" s="134"/>
      <c r="N357" s="46"/>
      <c r="O357" s="131"/>
      <c r="P357" s="45"/>
      <c r="Q357" s="80"/>
    </row>
    <row r="358" spans="1:17" s="36" customFormat="1" ht="32.25" hidden="1" customHeight="1">
      <c r="A358" s="100">
        <v>350</v>
      </c>
      <c r="B358" s="239"/>
      <c r="C358" s="257"/>
      <c r="D358" s="52"/>
      <c r="E358" s="49"/>
      <c r="F358" s="51"/>
      <c r="G358" s="112">
        <f t="shared" si="6"/>
        <v>0</v>
      </c>
      <c r="H358" s="50"/>
      <c r="I358" s="49"/>
      <c r="J358" s="48"/>
      <c r="K358" s="47"/>
      <c r="L358" s="112">
        <f t="shared" si="7"/>
        <v>0</v>
      </c>
      <c r="M358" s="134"/>
      <c r="N358" s="46"/>
      <c r="O358" s="131"/>
      <c r="P358" s="45"/>
      <c r="Q358" s="80"/>
    </row>
    <row r="359" spans="1:17" s="36" customFormat="1" ht="32.25" hidden="1" customHeight="1">
      <c r="A359" s="100">
        <v>351</v>
      </c>
      <c r="B359" s="239"/>
      <c r="C359" s="257"/>
      <c r="D359" s="52"/>
      <c r="E359" s="49"/>
      <c r="F359" s="51"/>
      <c r="G359" s="112">
        <f t="shared" si="6"/>
        <v>0</v>
      </c>
      <c r="H359" s="50"/>
      <c r="I359" s="49"/>
      <c r="J359" s="48"/>
      <c r="K359" s="47"/>
      <c r="L359" s="112">
        <f t="shared" si="7"/>
        <v>0</v>
      </c>
      <c r="M359" s="134"/>
      <c r="N359" s="46"/>
      <c r="O359" s="131"/>
      <c r="P359" s="45"/>
      <c r="Q359" s="80"/>
    </row>
    <row r="360" spans="1:17" s="36" customFormat="1" ht="32.25" hidden="1" customHeight="1">
      <c r="A360" s="100">
        <v>352</v>
      </c>
      <c r="B360" s="239"/>
      <c r="C360" s="257"/>
      <c r="D360" s="52"/>
      <c r="E360" s="49"/>
      <c r="F360" s="51"/>
      <c r="G360" s="112">
        <f t="shared" si="6"/>
        <v>0</v>
      </c>
      <c r="H360" s="50"/>
      <c r="I360" s="49"/>
      <c r="J360" s="48"/>
      <c r="K360" s="47"/>
      <c r="L360" s="112">
        <f t="shared" si="7"/>
        <v>0</v>
      </c>
      <c r="M360" s="134"/>
      <c r="N360" s="46"/>
      <c r="O360" s="131"/>
      <c r="P360" s="45"/>
      <c r="Q360" s="80"/>
    </row>
    <row r="361" spans="1:17" s="36" customFormat="1" ht="32.25" hidden="1" customHeight="1">
      <c r="A361" s="100">
        <v>353</v>
      </c>
      <c r="B361" s="239"/>
      <c r="C361" s="257"/>
      <c r="D361" s="52"/>
      <c r="E361" s="49"/>
      <c r="F361" s="51"/>
      <c r="G361" s="112">
        <f t="shared" si="6"/>
        <v>0</v>
      </c>
      <c r="H361" s="50"/>
      <c r="I361" s="49"/>
      <c r="J361" s="48"/>
      <c r="K361" s="47"/>
      <c r="L361" s="112">
        <f t="shared" si="7"/>
        <v>0</v>
      </c>
      <c r="M361" s="134"/>
      <c r="N361" s="46"/>
      <c r="O361" s="131"/>
      <c r="P361" s="45"/>
      <c r="Q361" s="80"/>
    </row>
    <row r="362" spans="1:17" s="36" customFormat="1" ht="32.25" hidden="1" customHeight="1">
      <c r="A362" s="100">
        <v>354</v>
      </c>
      <c r="B362" s="239"/>
      <c r="C362" s="257"/>
      <c r="D362" s="52"/>
      <c r="E362" s="49"/>
      <c r="F362" s="51"/>
      <c r="G362" s="112">
        <f t="shared" si="6"/>
        <v>0</v>
      </c>
      <c r="H362" s="50"/>
      <c r="I362" s="49"/>
      <c r="J362" s="48"/>
      <c r="K362" s="47"/>
      <c r="L362" s="112">
        <f t="shared" si="7"/>
        <v>0</v>
      </c>
      <c r="M362" s="134"/>
      <c r="N362" s="46"/>
      <c r="O362" s="131"/>
      <c r="P362" s="45"/>
      <c r="Q362" s="80"/>
    </row>
    <row r="363" spans="1:17" s="36" customFormat="1" ht="32.25" hidden="1" customHeight="1">
      <c r="A363" s="100">
        <v>355</v>
      </c>
      <c r="B363" s="239"/>
      <c r="C363" s="257"/>
      <c r="D363" s="52"/>
      <c r="E363" s="49"/>
      <c r="F363" s="51"/>
      <c r="G363" s="112">
        <f t="shared" si="6"/>
        <v>0</v>
      </c>
      <c r="H363" s="50"/>
      <c r="I363" s="49"/>
      <c r="J363" s="48"/>
      <c r="K363" s="47"/>
      <c r="L363" s="112">
        <f t="shared" si="7"/>
        <v>0</v>
      </c>
      <c r="M363" s="134"/>
      <c r="N363" s="46"/>
      <c r="O363" s="131"/>
      <c r="P363" s="45"/>
      <c r="Q363" s="80"/>
    </row>
    <row r="364" spans="1:17" s="36" customFormat="1" ht="32.25" hidden="1" customHeight="1">
      <c r="A364" s="100">
        <v>356</v>
      </c>
      <c r="B364" s="239"/>
      <c r="C364" s="257"/>
      <c r="D364" s="52"/>
      <c r="E364" s="49"/>
      <c r="F364" s="51"/>
      <c r="G364" s="112">
        <f t="shared" si="6"/>
        <v>0</v>
      </c>
      <c r="H364" s="50"/>
      <c r="I364" s="49"/>
      <c r="J364" s="48"/>
      <c r="K364" s="47"/>
      <c r="L364" s="112">
        <f t="shared" si="7"/>
        <v>0</v>
      </c>
      <c r="M364" s="134"/>
      <c r="N364" s="46"/>
      <c r="O364" s="131"/>
      <c r="P364" s="45"/>
      <c r="Q364" s="80"/>
    </row>
    <row r="365" spans="1:17" s="36" customFormat="1" ht="32.25" hidden="1" customHeight="1">
      <c r="A365" s="100">
        <v>357</v>
      </c>
      <c r="B365" s="239"/>
      <c r="C365" s="257"/>
      <c r="D365" s="52"/>
      <c r="E365" s="49"/>
      <c r="F365" s="51"/>
      <c r="G365" s="112">
        <f t="shared" si="6"/>
        <v>0</v>
      </c>
      <c r="H365" s="50"/>
      <c r="I365" s="49"/>
      <c r="J365" s="48"/>
      <c r="K365" s="47"/>
      <c r="L365" s="112">
        <f t="shared" si="7"/>
        <v>0</v>
      </c>
      <c r="M365" s="134"/>
      <c r="N365" s="46"/>
      <c r="O365" s="131"/>
      <c r="P365" s="45"/>
      <c r="Q365" s="80"/>
    </row>
    <row r="366" spans="1:17" s="36" customFormat="1" ht="32.25" hidden="1" customHeight="1">
      <c r="A366" s="100">
        <v>358</v>
      </c>
      <c r="B366" s="239"/>
      <c r="C366" s="257"/>
      <c r="D366" s="52"/>
      <c r="E366" s="49"/>
      <c r="F366" s="51"/>
      <c r="G366" s="112">
        <f t="shared" si="6"/>
        <v>0</v>
      </c>
      <c r="H366" s="50"/>
      <c r="I366" s="49"/>
      <c r="J366" s="48"/>
      <c r="K366" s="47"/>
      <c r="L366" s="112">
        <f t="shared" si="7"/>
        <v>0</v>
      </c>
      <c r="M366" s="134"/>
      <c r="N366" s="46"/>
      <c r="O366" s="131"/>
      <c r="P366" s="45"/>
      <c r="Q366" s="80"/>
    </row>
    <row r="367" spans="1:17" s="36" customFormat="1" ht="32.25" hidden="1" customHeight="1">
      <c r="A367" s="100">
        <v>359</v>
      </c>
      <c r="B367" s="239"/>
      <c r="C367" s="257"/>
      <c r="D367" s="52"/>
      <c r="E367" s="49"/>
      <c r="F367" s="51"/>
      <c r="G367" s="112">
        <f t="shared" si="6"/>
        <v>0</v>
      </c>
      <c r="H367" s="50"/>
      <c r="I367" s="49"/>
      <c r="J367" s="48"/>
      <c r="K367" s="47"/>
      <c r="L367" s="112">
        <f t="shared" si="7"/>
        <v>0</v>
      </c>
      <c r="M367" s="134"/>
      <c r="N367" s="46"/>
      <c r="O367" s="131"/>
      <c r="P367" s="45"/>
      <c r="Q367" s="80"/>
    </row>
    <row r="368" spans="1:17" s="36" customFormat="1" ht="32.25" hidden="1" customHeight="1">
      <c r="A368" s="100">
        <v>360</v>
      </c>
      <c r="B368" s="239"/>
      <c r="C368" s="257"/>
      <c r="D368" s="52"/>
      <c r="E368" s="49"/>
      <c r="F368" s="51"/>
      <c r="G368" s="112">
        <f t="shared" si="6"/>
        <v>0</v>
      </c>
      <c r="H368" s="50"/>
      <c r="I368" s="49"/>
      <c r="J368" s="48"/>
      <c r="K368" s="47"/>
      <c r="L368" s="112">
        <f t="shared" si="7"/>
        <v>0</v>
      </c>
      <c r="M368" s="134"/>
      <c r="N368" s="46"/>
      <c r="O368" s="131"/>
      <c r="P368" s="45"/>
      <c r="Q368" s="80"/>
    </row>
    <row r="369" spans="1:17" s="36" customFormat="1" ht="32.25" hidden="1" customHeight="1">
      <c r="A369" s="100">
        <v>361</v>
      </c>
      <c r="B369" s="239"/>
      <c r="C369" s="257"/>
      <c r="D369" s="52"/>
      <c r="E369" s="49"/>
      <c r="F369" s="51"/>
      <c r="G369" s="112">
        <f t="shared" si="6"/>
        <v>0</v>
      </c>
      <c r="H369" s="50"/>
      <c r="I369" s="49"/>
      <c r="J369" s="48"/>
      <c r="K369" s="47"/>
      <c r="L369" s="112">
        <f t="shared" si="7"/>
        <v>0</v>
      </c>
      <c r="M369" s="134"/>
      <c r="N369" s="46"/>
      <c r="O369" s="131"/>
      <c r="P369" s="45"/>
      <c r="Q369" s="80"/>
    </row>
    <row r="370" spans="1:17" s="36" customFormat="1" ht="32.25" hidden="1" customHeight="1">
      <c r="A370" s="100">
        <v>362</v>
      </c>
      <c r="B370" s="239"/>
      <c r="C370" s="257"/>
      <c r="D370" s="52"/>
      <c r="E370" s="49"/>
      <c r="F370" s="51"/>
      <c r="G370" s="112">
        <f t="shared" si="6"/>
        <v>0</v>
      </c>
      <c r="H370" s="50"/>
      <c r="I370" s="49"/>
      <c r="J370" s="48"/>
      <c r="K370" s="47"/>
      <c r="L370" s="112">
        <f t="shared" si="7"/>
        <v>0</v>
      </c>
      <c r="M370" s="134"/>
      <c r="N370" s="46"/>
      <c r="O370" s="131"/>
      <c r="P370" s="45"/>
      <c r="Q370" s="80"/>
    </row>
    <row r="371" spans="1:17" s="36" customFormat="1" ht="32.25" hidden="1" customHeight="1">
      <c r="A371" s="100">
        <v>363</v>
      </c>
      <c r="B371" s="239"/>
      <c r="C371" s="257"/>
      <c r="D371" s="52"/>
      <c r="E371" s="49"/>
      <c r="F371" s="51"/>
      <c r="G371" s="112">
        <f t="shared" si="6"/>
        <v>0</v>
      </c>
      <c r="H371" s="50"/>
      <c r="I371" s="49"/>
      <c r="J371" s="48"/>
      <c r="K371" s="47"/>
      <c r="L371" s="112">
        <f t="shared" si="7"/>
        <v>0</v>
      </c>
      <c r="M371" s="134"/>
      <c r="N371" s="46"/>
      <c r="O371" s="131"/>
      <c r="P371" s="45"/>
      <c r="Q371" s="80"/>
    </row>
    <row r="372" spans="1:17" s="36" customFormat="1" ht="32.25" hidden="1" customHeight="1">
      <c r="A372" s="100">
        <v>364</v>
      </c>
      <c r="B372" s="239"/>
      <c r="C372" s="257"/>
      <c r="D372" s="52"/>
      <c r="E372" s="49"/>
      <c r="F372" s="51"/>
      <c r="G372" s="112">
        <f t="shared" si="6"/>
        <v>0</v>
      </c>
      <c r="H372" s="50"/>
      <c r="I372" s="49"/>
      <c r="J372" s="48"/>
      <c r="K372" s="47"/>
      <c r="L372" s="112">
        <f t="shared" si="7"/>
        <v>0</v>
      </c>
      <c r="M372" s="134"/>
      <c r="N372" s="46"/>
      <c r="O372" s="131"/>
      <c r="P372" s="45"/>
      <c r="Q372" s="80"/>
    </row>
    <row r="373" spans="1:17" s="36" customFormat="1" ht="32.25" hidden="1" customHeight="1">
      <c r="A373" s="100">
        <v>365</v>
      </c>
      <c r="B373" s="239"/>
      <c r="C373" s="257"/>
      <c r="D373" s="52"/>
      <c r="E373" s="49"/>
      <c r="F373" s="51"/>
      <c r="G373" s="112">
        <f t="shared" si="6"/>
        <v>0</v>
      </c>
      <c r="H373" s="50"/>
      <c r="I373" s="49"/>
      <c r="J373" s="48"/>
      <c r="K373" s="47"/>
      <c r="L373" s="112">
        <f t="shared" si="7"/>
        <v>0</v>
      </c>
      <c r="M373" s="134"/>
      <c r="N373" s="46"/>
      <c r="O373" s="131"/>
      <c r="P373" s="45"/>
      <c r="Q373" s="80"/>
    </row>
    <row r="374" spans="1:17" s="36" customFormat="1" ht="32.25" hidden="1" customHeight="1">
      <c r="A374" s="100">
        <v>366</v>
      </c>
      <c r="B374" s="239"/>
      <c r="C374" s="257"/>
      <c r="D374" s="52"/>
      <c r="E374" s="49"/>
      <c r="F374" s="51"/>
      <c r="G374" s="112">
        <f t="shared" si="6"/>
        <v>0</v>
      </c>
      <c r="H374" s="50"/>
      <c r="I374" s="49"/>
      <c r="J374" s="48"/>
      <c r="K374" s="47"/>
      <c r="L374" s="112">
        <f t="shared" si="7"/>
        <v>0</v>
      </c>
      <c r="M374" s="134"/>
      <c r="N374" s="46"/>
      <c r="O374" s="131"/>
      <c r="P374" s="45"/>
      <c r="Q374" s="80"/>
    </row>
    <row r="375" spans="1:17" s="36" customFormat="1" ht="32.25" hidden="1" customHeight="1">
      <c r="A375" s="100">
        <v>367</v>
      </c>
      <c r="B375" s="239"/>
      <c r="C375" s="257"/>
      <c r="D375" s="52"/>
      <c r="E375" s="49"/>
      <c r="F375" s="51"/>
      <c r="G375" s="112">
        <f t="shared" si="6"/>
        <v>0</v>
      </c>
      <c r="H375" s="50"/>
      <c r="I375" s="49"/>
      <c r="J375" s="48"/>
      <c r="K375" s="47"/>
      <c r="L375" s="112">
        <f t="shared" si="7"/>
        <v>0</v>
      </c>
      <c r="M375" s="134"/>
      <c r="N375" s="46"/>
      <c r="O375" s="131"/>
      <c r="P375" s="45"/>
      <c r="Q375" s="80"/>
    </row>
    <row r="376" spans="1:17" s="36" customFormat="1" ht="32.25" hidden="1" customHeight="1">
      <c r="A376" s="100">
        <v>368</v>
      </c>
      <c r="B376" s="239"/>
      <c r="C376" s="257"/>
      <c r="D376" s="52"/>
      <c r="E376" s="49"/>
      <c r="F376" s="51"/>
      <c r="G376" s="112">
        <f t="shared" si="6"/>
        <v>0</v>
      </c>
      <c r="H376" s="50"/>
      <c r="I376" s="49"/>
      <c r="J376" s="48"/>
      <c r="K376" s="47"/>
      <c r="L376" s="112">
        <f t="shared" si="7"/>
        <v>0</v>
      </c>
      <c r="M376" s="134"/>
      <c r="N376" s="46"/>
      <c r="O376" s="131"/>
      <c r="P376" s="45"/>
      <c r="Q376" s="80"/>
    </row>
    <row r="377" spans="1:17" s="36" customFormat="1" ht="32.25" hidden="1" customHeight="1">
      <c r="A377" s="100">
        <v>369</v>
      </c>
      <c r="B377" s="239"/>
      <c r="C377" s="257"/>
      <c r="D377" s="52"/>
      <c r="E377" s="49"/>
      <c r="F377" s="51"/>
      <c r="G377" s="112">
        <f t="shared" si="6"/>
        <v>0</v>
      </c>
      <c r="H377" s="50"/>
      <c r="I377" s="49"/>
      <c r="J377" s="48"/>
      <c r="K377" s="47"/>
      <c r="L377" s="112">
        <f t="shared" si="7"/>
        <v>0</v>
      </c>
      <c r="M377" s="134"/>
      <c r="N377" s="46"/>
      <c r="O377" s="131"/>
      <c r="P377" s="45"/>
      <c r="Q377" s="80"/>
    </row>
    <row r="378" spans="1:17" s="36" customFormat="1" ht="32.25" hidden="1" customHeight="1">
      <c r="A378" s="100">
        <v>370</v>
      </c>
      <c r="B378" s="239"/>
      <c r="C378" s="257"/>
      <c r="D378" s="52"/>
      <c r="E378" s="49"/>
      <c r="F378" s="51"/>
      <c r="G378" s="112">
        <f t="shared" si="6"/>
        <v>0</v>
      </c>
      <c r="H378" s="50"/>
      <c r="I378" s="49"/>
      <c r="J378" s="48"/>
      <c r="K378" s="47"/>
      <c r="L378" s="112">
        <f t="shared" si="7"/>
        <v>0</v>
      </c>
      <c r="M378" s="134"/>
      <c r="N378" s="46"/>
      <c r="O378" s="131"/>
      <c r="P378" s="45"/>
      <c r="Q378" s="80"/>
    </row>
    <row r="379" spans="1:17" s="36" customFormat="1" ht="32.25" hidden="1" customHeight="1">
      <c r="A379" s="100">
        <v>371</v>
      </c>
      <c r="B379" s="239"/>
      <c r="C379" s="257"/>
      <c r="D379" s="52"/>
      <c r="E379" s="49"/>
      <c r="F379" s="51"/>
      <c r="G379" s="112">
        <f t="shared" si="6"/>
        <v>0</v>
      </c>
      <c r="H379" s="50"/>
      <c r="I379" s="49"/>
      <c r="J379" s="48"/>
      <c r="K379" s="47"/>
      <c r="L379" s="112">
        <f t="shared" si="7"/>
        <v>0</v>
      </c>
      <c r="M379" s="134"/>
      <c r="N379" s="46"/>
      <c r="O379" s="131"/>
      <c r="P379" s="45"/>
      <c r="Q379" s="80"/>
    </row>
    <row r="380" spans="1:17" s="36" customFormat="1" ht="32.25" hidden="1" customHeight="1">
      <c r="A380" s="100">
        <v>372</v>
      </c>
      <c r="B380" s="239"/>
      <c r="C380" s="257"/>
      <c r="D380" s="52"/>
      <c r="E380" s="49"/>
      <c r="F380" s="51"/>
      <c r="G380" s="112">
        <f t="shared" si="6"/>
        <v>0</v>
      </c>
      <c r="H380" s="50"/>
      <c r="I380" s="49"/>
      <c r="J380" s="48"/>
      <c r="K380" s="47"/>
      <c r="L380" s="112">
        <f t="shared" si="7"/>
        <v>0</v>
      </c>
      <c r="M380" s="134"/>
      <c r="N380" s="46"/>
      <c r="O380" s="131"/>
      <c r="P380" s="45"/>
      <c r="Q380" s="80"/>
    </row>
    <row r="381" spans="1:17" s="36" customFormat="1" ht="32.25" hidden="1" customHeight="1">
      <c r="A381" s="100">
        <v>373</v>
      </c>
      <c r="B381" s="239"/>
      <c r="C381" s="257"/>
      <c r="D381" s="52"/>
      <c r="E381" s="49"/>
      <c r="F381" s="51"/>
      <c r="G381" s="112">
        <f t="shared" si="6"/>
        <v>0</v>
      </c>
      <c r="H381" s="50"/>
      <c r="I381" s="49"/>
      <c r="J381" s="48"/>
      <c r="K381" s="47"/>
      <c r="L381" s="112">
        <f t="shared" si="7"/>
        <v>0</v>
      </c>
      <c r="M381" s="134"/>
      <c r="N381" s="46"/>
      <c r="O381" s="131"/>
      <c r="P381" s="45"/>
      <c r="Q381" s="80"/>
    </row>
    <row r="382" spans="1:17" s="36" customFormat="1" ht="32.25" hidden="1" customHeight="1">
      <c r="A382" s="100">
        <v>374</v>
      </c>
      <c r="B382" s="239"/>
      <c r="C382" s="257"/>
      <c r="D382" s="52"/>
      <c r="E382" s="49"/>
      <c r="F382" s="51"/>
      <c r="G382" s="112">
        <f t="shared" si="6"/>
        <v>0</v>
      </c>
      <c r="H382" s="50"/>
      <c r="I382" s="49"/>
      <c r="J382" s="48"/>
      <c r="K382" s="47"/>
      <c r="L382" s="112">
        <f t="shared" si="7"/>
        <v>0</v>
      </c>
      <c r="M382" s="134"/>
      <c r="N382" s="46"/>
      <c r="O382" s="131"/>
      <c r="P382" s="45"/>
      <c r="Q382" s="80"/>
    </row>
    <row r="383" spans="1:17" s="36" customFormat="1" ht="32.25" hidden="1" customHeight="1">
      <c r="A383" s="100">
        <v>375</v>
      </c>
      <c r="B383" s="239"/>
      <c r="C383" s="257"/>
      <c r="D383" s="52"/>
      <c r="E383" s="49"/>
      <c r="F383" s="51"/>
      <c r="G383" s="112">
        <f t="shared" si="6"/>
        <v>0</v>
      </c>
      <c r="H383" s="50"/>
      <c r="I383" s="49"/>
      <c r="J383" s="48"/>
      <c r="K383" s="47"/>
      <c r="L383" s="112">
        <f t="shared" si="7"/>
        <v>0</v>
      </c>
      <c r="M383" s="134"/>
      <c r="N383" s="46"/>
      <c r="O383" s="131"/>
      <c r="P383" s="45"/>
      <c r="Q383" s="80"/>
    </row>
    <row r="384" spans="1:17" s="36" customFormat="1" ht="32.25" hidden="1" customHeight="1">
      <c r="A384" s="100">
        <v>376</v>
      </c>
      <c r="B384" s="239"/>
      <c r="C384" s="257"/>
      <c r="D384" s="52"/>
      <c r="E384" s="49"/>
      <c r="F384" s="51"/>
      <c r="G384" s="112">
        <f t="shared" si="6"/>
        <v>0</v>
      </c>
      <c r="H384" s="50"/>
      <c r="I384" s="49"/>
      <c r="J384" s="48"/>
      <c r="K384" s="47"/>
      <c r="L384" s="112">
        <f t="shared" si="7"/>
        <v>0</v>
      </c>
      <c r="M384" s="134"/>
      <c r="N384" s="46"/>
      <c r="O384" s="131"/>
      <c r="P384" s="45"/>
      <c r="Q384" s="80"/>
    </row>
    <row r="385" spans="1:17" s="36" customFormat="1" ht="32.25" hidden="1" customHeight="1">
      <c r="A385" s="100">
        <v>377</v>
      </c>
      <c r="B385" s="239"/>
      <c r="C385" s="257"/>
      <c r="D385" s="52"/>
      <c r="E385" s="49"/>
      <c r="F385" s="51"/>
      <c r="G385" s="112">
        <f t="shared" si="6"/>
        <v>0</v>
      </c>
      <c r="H385" s="50"/>
      <c r="I385" s="49"/>
      <c r="J385" s="48"/>
      <c r="K385" s="47"/>
      <c r="L385" s="112">
        <f t="shared" si="7"/>
        <v>0</v>
      </c>
      <c r="M385" s="134"/>
      <c r="N385" s="46"/>
      <c r="O385" s="131"/>
      <c r="P385" s="45"/>
      <c r="Q385" s="80"/>
    </row>
    <row r="386" spans="1:17" s="36" customFormat="1" ht="32.25" hidden="1" customHeight="1">
      <c r="A386" s="100">
        <v>378</v>
      </c>
      <c r="B386" s="239"/>
      <c r="C386" s="257"/>
      <c r="D386" s="52"/>
      <c r="E386" s="49"/>
      <c r="F386" s="51"/>
      <c r="G386" s="112">
        <f t="shared" si="6"/>
        <v>0</v>
      </c>
      <c r="H386" s="50"/>
      <c r="I386" s="49"/>
      <c r="J386" s="48"/>
      <c r="K386" s="47"/>
      <c r="L386" s="112">
        <f t="shared" si="7"/>
        <v>0</v>
      </c>
      <c r="M386" s="134"/>
      <c r="N386" s="46"/>
      <c r="O386" s="131"/>
      <c r="P386" s="45"/>
      <c r="Q386" s="80"/>
    </row>
    <row r="387" spans="1:17" s="36" customFormat="1" ht="32.25" hidden="1" customHeight="1">
      <c r="A387" s="100">
        <v>379</v>
      </c>
      <c r="B387" s="239"/>
      <c r="C387" s="257"/>
      <c r="D387" s="52"/>
      <c r="E387" s="49"/>
      <c r="F387" s="51"/>
      <c r="G387" s="112">
        <f t="shared" si="6"/>
        <v>0</v>
      </c>
      <c r="H387" s="50"/>
      <c r="I387" s="49"/>
      <c r="J387" s="48"/>
      <c r="K387" s="47"/>
      <c r="L387" s="112">
        <f t="shared" si="7"/>
        <v>0</v>
      </c>
      <c r="M387" s="134"/>
      <c r="N387" s="46"/>
      <c r="O387" s="131"/>
      <c r="P387" s="45"/>
      <c r="Q387" s="80"/>
    </row>
    <row r="388" spans="1:17" s="36" customFormat="1" ht="32.25" hidden="1" customHeight="1">
      <c r="A388" s="100">
        <v>380</v>
      </c>
      <c r="B388" s="239"/>
      <c r="C388" s="257"/>
      <c r="D388" s="52"/>
      <c r="E388" s="49"/>
      <c r="F388" s="51"/>
      <c r="G388" s="112">
        <f t="shared" si="6"/>
        <v>0</v>
      </c>
      <c r="H388" s="50"/>
      <c r="I388" s="49"/>
      <c r="J388" s="48"/>
      <c r="K388" s="47"/>
      <c r="L388" s="112">
        <f t="shared" si="7"/>
        <v>0</v>
      </c>
      <c r="M388" s="134"/>
      <c r="N388" s="46"/>
      <c r="O388" s="131"/>
      <c r="P388" s="45"/>
      <c r="Q388" s="80"/>
    </row>
    <row r="389" spans="1:17" s="36" customFormat="1" ht="32.25" hidden="1" customHeight="1">
      <c r="A389" s="100">
        <v>381</v>
      </c>
      <c r="B389" s="239"/>
      <c r="C389" s="257"/>
      <c r="D389" s="52"/>
      <c r="E389" s="49"/>
      <c r="F389" s="51"/>
      <c r="G389" s="112">
        <f t="shared" si="6"/>
        <v>0</v>
      </c>
      <c r="H389" s="50"/>
      <c r="I389" s="49"/>
      <c r="J389" s="48"/>
      <c r="K389" s="47"/>
      <c r="L389" s="112">
        <f t="shared" si="7"/>
        <v>0</v>
      </c>
      <c r="M389" s="134"/>
      <c r="N389" s="46"/>
      <c r="O389" s="131"/>
      <c r="P389" s="45"/>
      <c r="Q389" s="80"/>
    </row>
    <row r="390" spans="1:17" s="36" customFormat="1" ht="32.25" hidden="1" customHeight="1">
      <c r="A390" s="100">
        <v>382</v>
      </c>
      <c r="B390" s="239"/>
      <c r="C390" s="257"/>
      <c r="D390" s="52"/>
      <c r="E390" s="49"/>
      <c r="F390" s="51"/>
      <c r="G390" s="112">
        <f t="shared" si="6"/>
        <v>0</v>
      </c>
      <c r="H390" s="50"/>
      <c r="I390" s="49"/>
      <c r="J390" s="48"/>
      <c r="K390" s="47"/>
      <c r="L390" s="112">
        <f t="shared" si="7"/>
        <v>0</v>
      </c>
      <c r="M390" s="134"/>
      <c r="N390" s="46"/>
      <c r="O390" s="131"/>
      <c r="P390" s="45"/>
      <c r="Q390" s="80"/>
    </row>
    <row r="391" spans="1:17" s="36" customFormat="1" ht="32.25" hidden="1" customHeight="1">
      <c r="A391" s="100">
        <v>383</v>
      </c>
      <c r="B391" s="239"/>
      <c r="C391" s="257"/>
      <c r="D391" s="52"/>
      <c r="E391" s="49"/>
      <c r="F391" s="51"/>
      <c r="G391" s="112">
        <f t="shared" si="6"/>
        <v>0</v>
      </c>
      <c r="H391" s="50"/>
      <c r="I391" s="49"/>
      <c r="J391" s="48"/>
      <c r="K391" s="47"/>
      <c r="L391" s="112">
        <f t="shared" si="7"/>
        <v>0</v>
      </c>
      <c r="M391" s="134"/>
      <c r="N391" s="46"/>
      <c r="O391" s="131"/>
      <c r="P391" s="45"/>
      <c r="Q391" s="80"/>
    </row>
    <row r="392" spans="1:17" s="36" customFormat="1" ht="32.25" hidden="1" customHeight="1">
      <c r="A392" s="100">
        <v>384</v>
      </c>
      <c r="B392" s="239"/>
      <c r="C392" s="257"/>
      <c r="D392" s="52"/>
      <c r="E392" s="49"/>
      <c r="F392" s="51"/>
      <c r="G392" s="112">
        <f t="shared" si="6"/>
        <v>0</v>
      </c>
      <c r="H392" s="50"/>
      <c r="I392" s="49"/>
      <c r="J392" s="48"/>
      <c r="K392" s="47"/>
      <c r="L392" s="112">
        <f t="shared" si="7"/>
        <v>0</v>
      </c>
      <c r="M392" s="134"/>
      <c r="N392" s="46"/>
      <c r="O392" s="131"/>
      <c r="P392" s="45"/>
      <c r="Q392" s="80"/>
    </row>
    <row r="393" spans="1:17" s="36" customFormat="1" ht="32.25" hidden="1" customHeight="1">
      <c r="A393" s="100">
        <v>385</v>
      </c>
      <c r="B393" s="239"/>
      <c r="C393" s="257"/>
      <c r="D393" s="52"/>
      <c r="E393" s="49"/>
      <c r="F393" s="51"/>
      <c r="G393" s="112">
        <f t="shared" si="6"/>
        <v>0</v>
      </c>
      <c r="H393" s="50"/>
      <c r="I393" s="49"/>
      <c r="J393" s="48"/>
      <c r="K393" s="47"/>
      <c r="L393" s="112">
        <f t="shared" si="7"/>
        <v>0</v>
      </c>
      <c r="M393" s="134"/>
      <c r="N393" s="46"/>
      <c r="O393" s="131"/>
      <c r="P393" s="45"/>
      <c r="Q393" s="80"/>
    </row>
    <row r="394" spans="1:17" s="36" customFormat="1" ht="32.25" hidden="1" customHeight="1">
      <c r="A394" s="100">
        <v>386</v>
      </c>
      <c r="B394" s="239"/>
      <c r="C394" s="257"/>
      <c r="D394" s="52"/>
      <c r="E394" s="49"/>
      <c r="F394" s="51"/>
      <c r="G394" s="112">
        <f t="shared" si="6"/>
        <v>0</v>
      </c>
      <c r="H394" s="50"/>
      <c r="I394" s="49"/>
      <c r="J394" s="48"/>
      <c r="K394" s="47"/>
      <c r="L394" s="112">
        <f t="shared" si="7"/>
        <v>0</v>
      </c>
      <c r="M394" s="134"/>
      <c r="N394" s="46"/>
      <c r="O394" s="131"/>
      <c r="P394" s="45"/>
      <c r="Q394" s="80"/>
    </row>
    <row r="395" spans="1:17" s="36" customFormat="1" ht="32.25" hidden="1" customHeight="1">
      <c r="A395" s="100">
        <v>387</v>
      </c>
      <c r="B395" s="239"/>
      <c r="C395" s="257"/>
      <c r="D395" s="52"/>
      <c r="E395" s="49"/>
      <c r="F395" s="51"/>
      <c r="G395" s="112">
        <f t="shared" si="6"/>
        <v>0</v>
      </c>
      <c r="H395" s="50"/>
      <c r="I395" s="49"/>
      <c r="J395" s="48"/>
      <c r="K395" s="47"/>
      <c r="L395" s="112">
        <f t="shared" si="7"/>
        <v>0</v>
      </c>
      <c r="M395" s="134"/>
      <c r="N395" s="46"/>
      <c r="O395" s="131"/>
      <c r="P395" s="45"/>
      <c r="Q395" s="80"/>
    </row>
    <row r="396" spans="1:17" s="36" customFormat="1" ht="32.25" hidden="1" customHeight="1">
      <c r="A396" s="100">
        <v>388</v>
      </c>
      <c r="B396" s="239"/>
      <c r="C396" s="257"/>
      <c r="D396" s="52"/>
      <c r="E396" s="49"/>
      <c r="F396" s="51"/>
      <c r="G396" s="112">
        <f t="shared" si="6"/>
        <v>0</v>
      </c>
      <c r="H396" s="50"/>
      <c r="I396" s="49"/>
      <c r="J396" s="48"/>
      <c r="K396" s="47"/>
      <c r="L396" s="112">
        <f t="shared" si="7"/>
        <v>0</v>
      </c>
      <c r="M396" s="134"/>
      <c r="N396" s="46"/>
      <c r="O396" s="131"/>
      <c r="P396" s="45"/>
      <c r="Q396" s="80"/>
    </row>
    <row r="397" spans="1:17" s="36" customFormat="1" ht="32.25" hidden="1" customHeight="1">
      <c r="A397" s="100">
        <v>389</v>
      </c>
      <c r="B397" s="239"/>
      <c r="C397" s="257"/>
      <c r="D397" s="52"/>
      <c r="E397" s="49"/>
      <c r="F397" s="51"/>
      <c r="G397" s="112">
        <f t="shared" si="6"/>
        <v>0</v>
      </c>
      <c r="H397" s="50"/>
      <c r="I397" s="49"/>
      <c r="J397" s="48"/>
      <c r="K397" s="47"/>
      <c r="L397" s="112">
        <f t="shared" si="7"/>
        <v>0</v>
      </c>
      <c r="M397" s="134"/>
      <c r="N397" s="46"/>
      <c r="O397" s="131"/>
      <c r="P397" s="45"/>
      <c r="Q397" s="80"/>
    </row>
    <row r="398" spans="1:17" s="36" customFormat="1" ht="32.25" hidden="1" customHeight="1">
      <c r="A398" s="100">
        <v>390</v>
      </c>
      <c r="B398" s="239"/>
      <c r="C398" s="257"/>
      <c r="D398" s="52"/>
      <c r="E398" s="49"/>
      <c r="F398" s="51"/>
      <c r="G398" s="112">
        <f t="shared" si="6"/>
        <v>0</v>
      </c>
      <c r="H398" s="50"/>
      <c r="I398" s="49"/>
      <c r="J398" s="48"/>
      <c r="K398" s="47"/>
      <c r="L398" s="112">
        <f t="shared" si="7"/>
        <v>0</v>
      </c>
      <c r="M398" s="134"/>
      <c r="N398" s="46"/>
      <c r="O398" s="131"/>
      <c r="P398" s="45"/>
      <c r="Q398" s="80"/>
    </row>
    <row r="399" spans="1:17" s="36" customFormat="1" ht="32.25" hidden="1" customHeight="1">
      <c r="A399" s="100">
        <v>391</v>
      </c>
      <c r="B399" s="239"/>
      <c r="C399" s="257"/>
      <c r="D399" s="52"/>
      <c r="E399" s="49"/>
      <c r="F399" s="51"/>
      <c r="G399" s="112">
        <f t="shared" si="6"/>
        <v>0</v>
      </c>
      <c r="H399" s="50"/>
      <c r="I399" s="49"/>
      <c r="J399" s="48"/>
      <c r="K399" s="47"/>
      <c r="L399" s="112">
        <f t="shared" si="7"/>
        <v>0</v>
      </c>
      <c r="M399" s="134"/>
      <c r="N399" s="46"/>
      <c r="O399" s="131"/>
      <c r="P399" s="45"/>
      <c r="Q399" s="80"/>
    </row>
    <row r="400" spans="1:17" s="36" customFormat="1" ht="32.25" hidden="1" customHeight="1">
      <c r="A400" s="100">
        <v>392</v>
      </c>
      <c r="B400" s="239"/>
      <c r="C400" s="257"/>
      <c r="D400" s="52"/>
      <c r="E400" s="49"/>
      <c r="F400" s="51"/>
      <c r="G400" s="112">
        <f t="shared" si="6"/>
        <v>0</v>
      </c>
      <c r="H400" s="50"/>
      <c r="I400" s="49"/>
      <c r="J400" s="48"/>
      <c r="K400" s="47"/>
      <c r="L400" s="112">
        <f t="shared" si="7"/>
        <v>0</v>
      </c>
      <c r="M400" s="134"/>
      <c r="N400" s="46"/>
      <c r="O400" s="131"/>
      <c r="P400" s="45"/>
      <c r="Q400" s="80"/>
    </row>
    <row r="401" spans="1:17" s="36" customFormat="1" ht="32.25" hidden="1" customHeight="1">
      <c r="A401" s="100">
        <v>393</v>
      </c>
      <c r="B401" s="239"/>
      <c r="C401" s="257"/>
      <c r="D401" s="52"/>
      <c r="E401" s="49"/>
      <c r="F401" s="51"/>
      <c r="G401" s="112">
        <f t="shared" si="6"/>
        <v>0</v>
      </c>
      <c r="H401" s="50"/>
      <c r="I401" s="49"/>
      <c r="J401" s="48"/>
      <c r="K401" s="47"/>
      <c r="L401" s="112">
        <f t="shared" si="7"/>
        <v>0</v>
      </c>
      <c r="M401" s="134"/>
      <c r="N401" s="46"/>
      <c r="O401" s="131"/>
      <c r="P401" s="45"/>
      <c r="Q401" s="80"/>
    </row>
    <row r="402" spans="1:17" s="36" customFormat="1" ht="32.25" hidden="1" customHeight="1">
      <c r="A402" s="100">
        <v>394</v>
      </c>
      <c r="B402" s="239"/>
      <c r="C402" s="257"/>
      <c r="D402" s="52"/>
      <c r="E402" s="49"/>
      <c r="F402" s="51"/>
      <c r="G402" s="112">
        <f t="shared" si="6"/>
        <v>0</v>
      </c>
      <c r="H402" s="50"/>
      <c r="I402" s="49"/>
      <c r="J402" s="48"/>
      <c r="K402" s="47"/>
      <c r="L402" s="112">
        <f t="shared" si="7"/>
        <v>0</v>
      </c>
      <c r="M402" s="134"/>
      <c r="N402" s="46"/>
      <c r="O402" s="131"/>
      <c r="P402" s="45"/>
      <c r="Q402" s="80"/>
    </row>
    <row r="403" spans="1:17" s="36" customFormat="1" ht="32.25" hidden="1" customHeight="1">
      <c r="A403" s="100">
        <v>395</v>
      </c>
      <c r="B403" s="239"/>
      <c r="C403" s="257"/>
      <c r="D403" s="52"/>
      <c r="E403" s="49"/>
      <c r="F403" s="51"/>
      <c r="G403" s="112">
        <f t="shared" si="6"/>
        <v>0</v>
      </c>
      <c r="H403" s="50"/>
      <c r="I403" s="49"/>
      <c r="J403" s="48"/>
      <c r="K403" s="47"/>
      <c r="L403" s="112">
        <f t="shared" si="7"/>
        <v>0</v>
      </c>
      <c r="M403" s="134"/>
      <c r="N403" s="46"/>
      <c r="O403" s="131"/>
      <c r="P403" s="45"/>
      <c r="Q403" s="80"/>
    </row>
    <row r="404" spans="1:17" s="36" customFormat="1" ht="32.25" hidden="1" customHeight="1">
      <c r="A404" s="100">
        <v>396</v>
      </c>
      <c r="B404" s="239"/>
      <c r="C404" s="257"/>
      <c r="D404" s="52"/>
      <c r="E404" s="49"/>
      <c r="F404" s="51"/>
      <c r="G404" s="112">
        <f t="shared" si="6"/>
        <v>0</v>
      </c>
      <c r="H404" s="50"/>
      <c r="I404" s="49"/>
      <c r="J404" s="48"/>
      <c r="K404" s="47"/>
      <c r="L404" s="112">
        <f t="shared" si="7"/>
        <v>0</v>
      </c>
      <c r="M404" s="134"/>
      <c r="N404" s="46"/>
      <c r="O404" s="131"/>
      <c r="P404" s="45"/>
      <c r="Q404" s="80"/>
    </row>
    <row r="405" spans="1:17" s="36" customFormat="1" ht="32.25" hidden="1" customHeight="1">
      <c r="A405" s="100">
        <v>397</v>
      </c>
      <c r="B405" s="239"/>
      <c r="C405" s="257"/>
      <c r="D405" s="52"/>
      <c r="E405" s="49"/>
      <c r="F405" s="51"/>
      <c r="G405" s="112">
        <f t="shared" si="6"/>
        <v>0</v>
      </c>
      <c r="H405" s="50"/>
      <c r="I405" s="49"/>
      <c r="J405" s="48"/>
      <c r="K405" s="47"/>
      <c r="L405" s="112">
        <f t="shared" si="7"/>
        <v>0</v>
      </c>
      <c r="M405" s="134"/>
      <c r="N405" s="46"/>
      <c r="O405" s="131"/>
      <c r="P405" s="45"/>
      <c r="Q405" s="80"/>
    </row>
    <row r="406" spans="1:17" s="36" customFormat="1" ht="32.25" hidden="1" customHeight="1">
      <c r="A406" s="100">
        <v>398</v>
      </c>
      <c r="B406" s="239"/>
      <c r="C406" s="257"/>
      <c r="D406" s="52"/>
      <c r="E406" s="49"/>
      <c r="F406" s="51"/>
      <c r="G406" s="112">
        <f t="shared" si="6"/>
        <v>0</v>
      </c>
      <c r="H406" s="50"/>
      <c r="I406" s="49"/>
      <c r="J406" s="48"/>
      <c r="K406" s="47"/>
      <c r="L406" s="112">
        <f t="shared" si="7"/>
        <v>0</v>
      </c>
      <c r="M406" s="134"/>
      <c r="N406" s="46"/>
      <c r="O406" s="131"/>
      <c r="P406" s="45"/>
      <c r="Q406" s="80"/>
    </row>
    <row r="407" spans="1:17" s="36" customFormat="1" ht="32.25" hidden="1" customHeight="1">
      <c r="A407" s="100">
        <v>399</v>
      </c>
      <c r="B407" s="239"/>
      <c r="C407" s="257"/>
      <c r="D407" s="52"/>
      <c r="E407" s="49"/>
      <c r="F407" s="51"/>
      <c r="G407" s="112">
        <f t="shared" si="6"/>
        <v>0</v>
      </c>
      <c r="H407" s="50"/>
      <c r="I407" s="49"/>
      <c r="J407" s="48"/>
      <c r="K407" s="47"/>
      <c r="L407" s="112">
        <f t="shared" si="7"/>
        <v>0</v>
      </c>
      <c r="M407" s="134"/>
      <c r="N407" s="46"/>
      <c r="O407" s="131"/>
      <c r="P407" s="45"/>
      <c r="Q407" s="80"/>
    </row>
    <row r="408" spans="1:17" s="36" customFormat="1" ht="32.25" hidden="1" customHeight="1">
      <c r="A408" s="100">
        <v>400</v>
      </c>
      <c r="B408" s="239"/>
      <c r="C408" s="257"/>
      <c r="D408" s="52"/>
      <c r="E408" s="49"/>
      <c r="F408" s="51"/>
      <c r="G408" s="112">
        <f t="shared" si="6"/>
        <v>0</v>
      </c>
      <c r="H408" s="50"/>
      <c r="I408" s="49"/>
      <c r="J408" s="48"/>
      <c r="K408" s="47"/>
      <c r="L408" s="112">
        <f t="shared" si="7"/>
        <v>0</v>
      </c>
      <c r="M408" s="134"/>
      <c r="N408" s="46"/>
      <c r="O408" s="131"/>
      <c r="P408" s="45"/>
      <c r="Q408" s="80"/>
    </row>
    <row r="409" spans="1:17" s="36" customFormat="1" ht="32.25" hidden="1" customHeight="1">
      <c r="A409" s="100">
        <v>401</v>
      </c>
      <c r="B409" s="239"/>
      <c r="C409" s="257"/>
      <c r="D409" s="52"/>
      <c r="E409" s="49"/>
      <c r="F409" s="51"/>
      <c r="G409" s="112">
        <f t="shared" si="6"/>
        <v>0</v>
      </c>
      <c r="H409" s="50"/>
      <c r="I409" s="49"/>
      <c r="J409" s="48"/>
      <c r="K409" s="47"/>
      <c r="L409" s="112">
        <f t="shared" si="7"/>
        <v>0</v>
      </c>
      <c r="M409" s="134"/>
      <c r="N409" s="46"/>
      <c r="O409" s="131"/>
      <c r="P409" s="45"/>
      <c r="Q409" s="80"/>
    </row>
    <row r="410" spans="1:17" s="36" customFormat="1" ht="32.25" hidden="1" customHeight="1">
      <c r="A410" s="100">
        <v>402</v>
      </c>
      <c r="B410" s="239"/>
      <c r="C410" s="257"/>
      <c r="D410" s="52"/>
      <c r="E410" s="49"/>
      <c r="F410" s="51"/>
      <c r="G410" s="112">
        <f t="shared" si="6"/>
        <v>0</v>
      </c>
      <c r="H410" s="50"/>
      <c r="I410" s="49"/>
      <c r="J410" s="48"/>
      <c r="K410" s="47"/>
      <c r="L410" s="112">
        <f t="shared" si="7"/>
        <v>0</v>
      </c>
      <c r="M410" s="134"/>
      <c r="N410" s="46"/>
      <c r="O410" s="131"/>
      <c r="P410" s="45"/>
      <c r="Q410" s="80"/>
    </row>
    <row r="411" spans="1:17" s="36" customFormat="1" ht="32.25" hidden="1" customHeight="1">
      <c r="A411" s="100">
        <v>403</v>
      </c>
      <c r="B411" s="239"/>
      <c r="C411" s="257"/>
      <c r="D411" s="52"/>
      <c r="E411" s="49"/>
      <c r="F411" s="51"/>
      <c r="G411" s="112">
        <f t="shared" si="6"/>
        <v>0</v>
      </c>
      <c r="H411" s="50"/>
      <c r="I411" s="49"/>
      <c r="J411" s="48"/>
      <c r="K411" s="47"/>
      <c r="L411" s="112">
        <f t="shared" si="7"/>
        <v>0</v>
      </c>
      <c r="M411" s="134"/>
      <c r="N411" s="46"/>
      <c r="O411" s="131"/>
      <c r="P411" s="45"/>
      <c r="Q411" s="80"/>
    </row>
    <row r="412" spans="1:17" s="36" customFormat="1" ht="32.25" hidden="1" customHeight="1">
      <c r="A412" s="100">
        <v>404</v>
      </c>
      <c r="B412" s="239"/>
      <c r="C412" s="257"/>
      <c r="D412" s="52"/>
      <c r="E412" s="49"/>
      <c r="F412" s="51"/>
      <c r="G412" s="112">
        <f t="shared" si="6"/>
        <v>0</v>
      </c>
      <c r="H412" s="50"/>
      <c r="I412" s="49"/>
      <c r="J412" s="48"/>
      <c r="K412" s="47"/>
      <c r="L412" s="112">
        <f t="shared" si="7"/>
        <v>0</v>
      </c>
      <c r="M412" s="134"/>
      <c r="N412" s="46"/>
      <c r="O412" s="131"/>
      <c r="P412" s="45"/>
      <c r="Q412" s="80"/>
    </row>
    <row r="413" spans="1:17" s="36" customFormat="1" ht="32.25" hidden="1" customHeight="1">
      <c r="A413" s="100">
        <v>405</v>
      </c>
      <c r="B413" s="239"/>
      <c r="C413" s="257"/>
      <c r="D413" s="52"/>
      <c r="E413" s="49"/>
      <c r="F413" s="51"/>
      <c r="G413" s="112">
        <f t="shared" si="6"/>
        <v>0</v>
      </c>
      <c r="H413" s="50"/>
      <c r="I413" s="49"/>
      <c r="J413" s="48"/>
      <c r="K413" s="47"/>
      <c r="L413" s="112">
        <f t="shared" si="7"/>
        <v>0</v>
      </c>
      <c r="M413" s="134"/>
      <c r="N413" s="46"/>
      <c r="O413" s="131"/>
      <c r="P413" s="45"/>
      <c r="Q413" s="80"/>
    </row>
    <row r="414" spans="1:17" s="36" customFormat="1" ht="32.25" hidden="1" customHeight="1">
      <c r="A414" s="100">
        <v>406</v>
      </c>
      <c r="B414" s="239"/>
      <c r="C414" s="257"/>
      <c r="D414" s="52"/>
      <c r="E414" s="49"/>
      <c r="F414" s="51"/>
      <c r="G414" s="112">
        <f t="shared" si="6"/>
        <v>0</v>
      </c>
      <c r="H414" s="50"/>
      <c r="I414" s="49"/>
      <c r="J414" s="48"/>
      <c r="K414" s="47"/>
      <c r="L414" s="112">
        <f t="shared" si="7"/>
        <v>0</v>
      </c>
      <c r="M414" s="134"/>
      <c r="N414" s="46"/>
      <c r="O414" s="131"/>
      <c r="P414" s="45"/>
      <c r="Q414" s="80"/>
    </row>
    <row r="415" spans="1:17" s="36" customFormat="1" ht="32.25" hidden="1" customHeight="1">
      <c r="A415" s="100">
        <v>407</v>
      </c>
      <c r="B415" s="239"/>
      <c r="C415" s="257"/>
      <c r="D415" s="52"/>
      <c r="E415" s="49"/>
      <c r="F415" s="51"/>
      <c r="G415" s="112">
        <f t="shared" si="6"/>
        <v>0</v>
      </c>
      <c r="H415" s="50"/>
      <c r="I415" s="49"/>
      <c r="J415" s="48"/>
      <c r="K415" s="47"/>
      <c r="L415" s="112">
        <f t="shared" si="7"/>
        <v>0</v>
      </c>
      <c r="M415" s="134"/>
      <c r="N415" s="46"/>
      <c r="O415" s="131"/>
      <c r="P415" s="45"/>
      <c r="Q415" s="80"/>
    </row>
    <row r="416" spans="1:17" s="36" customFormat="1" ht="32.25" hidden="1" customHeight="1">
      <c r="A416" s="100">
        <v>408</v>
      </c>
      <c r="B416" s="239"/>
      <c r="C416" s="257"/>
      <c r="D416" s="52"/>
      <c r="E416" s="49"/>
      <c r="F416" s="51"/>
      <c r="G416" s="112">
        <f t="shared" si="6"/>
        <v>0</v>
      </c>
      <c r="H416" s="50"/>
      <c r="I416" s="49"/>
      <c r="J416" s="48"/>
      <c r="K416" s="47"/>
      <c r="L416" s="112">
        <f t="shared" si="7"/>
        <v>0</v>
      </c>
      <c r="M416" s="134"/>
      <c r="N416" s="46"/>
      <c r="O416" s="131"/>
      <c r="P416" s="45"/>
      <c r="Q416" s="80"/>
    </row>
    <row r="417" spans="1:17" s="36" customFormat="1" ht="32.25" hidden="1" customHeight="1">
      <c r="A417" s="100">
        <v>409</v>
      </c>
      <c r="B417" s="239"/>
      <c r="C417" s="257"/>
      <c r="D417" s="52"/>
      <c r="E417" s="49"/>
      <c r="F417" s="51"/>
      <c r="G417" s="112">
        <f t="shared" si="6"/>
        <v>0</v>
      </c>
      <c r="H417" s="50"/>
      <c r="I417" s="49"/>
      <c r="J417" s="48"/>
      <c r="K417" s="47"/>
      <c r="L417" s="112">
        <f t="shared" si="7"/>
        <v>0</v>
      </c>
      <c r="M417" s="134"/>
      <c r="N417" s="46"/>
      <c r="O417" s="131"/>
      <c r="P417" s="45"/>
      <c r="Q417" s="80"/>
    </row>
    <row r="418" spans="1:17" s="36" customFormat="1" ht="32.25" hidden="1" customHeight="1">
      <c r="A418" s="100">
        <v>410</v>
      </c>
      <c r="B418" s="239"/>
      <c r="C418" s="257"/>
      <c r="D418" s="52"/>
      <c r="E418" s="49"/>
      <c r="F418" s="51"/>
      <c r="G418" s="112">
        <f t="shared" si="6"/>
        <v>0</v>
      </c>
      <c r="H418" s="50"/>
      <c r="I418" s="49"/>
      <c r="J418" s="48"/>
      <c r="K418" s="47"/>
      <c r="L418" s="112">
        <f t="shared" si="7"/>
        <v>0</v>
      </c>
      <c r="M418" s="134"/>
      <c r="N418" s="46"/>
      <c r="O418" s="131"/>
      <c r="P418" s="45"/>
      <c r="Q418" s="80"/>
    </row>
    <row r="419" spans="1:17" s="36" customFormat="1" ht="32.25" hidden="1" customHeight="1">
      <c r="A419" s="100">
        <v>411</v>
      </c>
      <c r="B419" s="239"/>
      <c r="C419" s="257"/>
      <c r="D419" s="52"/>
      <c r="E419" s="49"/>
      <c r="F419" s="51"/>
      <c r="G419" s="112">
        <f t="shared" si="6"/>
        <v>0</v>
      </c>
      <c r="H419" s="50"/>
      <c r="I419" s="49"/>
      <c r="J419" s="48"/>
      <c r="K419" s="47"/>
      <c r="L419" s="112">
        <f t="shared" si="7"/>
        <v>0</v>
      </c>
      <c r="M419" s="134"/>
      <c r="N419" s="46"/>
      <c r="O419" s="131"/>
      <c r="P419" s="45"/>
      <c r="Q419" s="80"/>
    </row>
    <row r="420" spans="1:17" s="36" customFormat="1" ht="32.25" hidden="1" customHeight="1">
      <c r="A420" s="100">
        <v>412</v>
      </c>
      <c r="B420" s="239"/>
      <c r="C420" s="257"/>
      <c r="D420" s="52"/>
      <c r="E420" s="49"/>
      <c r="F420" s="51"/>
      <c r="G420" s="112">
        <f t="shared" si="6"/>
        <v>0</v>
      </c>
      <c r="H420" s="50"/>
      <c r="I420" s="49"/>
      <c r="J420" s="48"/>
      <c r="K420" s="47"/>
      <c r="L420" s="112">
        <f t="shared" si="7"/>
        <v>0</v>
      </c>
      <c r="M420" s="134"/>
      <c r="N420" s="46"/>
      <c r="O420" s="131"/>
      <c r="P420" s="45"/>
      <c r="Q420" s="80"/>
    </row>
    <row r="421" spans="1:17" s="36" customFormat="1" ht="32.25" hidden="1" customHeight="1">
      <c r="A421" s="100">
        <v>413</v>
      </c>
      <c r="B421" s="239"/>
      <c r="C421" s="257"/>
      <c r="D421" s="52"/>
      <c r="E421" s="49"/>
      <c r="F421" s="51"/>
      <c r="G421" s="112">
        <f t="shared" si="6"/>
        <v>0</v>
      </c>
      <c r="H421" s="50"/>
      <c r="I421" s="49"/>
      <c r="J421" s="48"/>
      <c r="K421" s="47"/>
      <c r="L421" s="112">
        <f t="shared" si="7"/>
        <v>0</v>
      </c>
      <c r="M421" s="134"/>
      <c r="N421" s="46"/>
      <c r="O421" s="131"/>
      <c r="P421" s="45"/>
      <c r="Q421" s="80"/>
    </row>
    <row r="422" spans="1:17" s="36" customFormat="1" ht="32.25" hidden="1" customHeight="1">
      <c r="A422" s="100">
        <v>414</v>
      </c>
      <c r="B422" s="239"/>
      <c r="C422" s="257"/>
      <c r="D422" s="52"/>
      <c r="E422" s="49"/>
      <c r="F422" s="51"/>
      <c r="G422" s="112">
        <f t="shared" si="6"/>
        <v>0</v>
      </c>
      <c r="H422" s="50"/>
      <c r="I422" s="49"/>
      <c r="J422" s="48"/>
      <c r="K422" s="47"/>
      <c r="L422" s="112">
        <f t="shared" si="7"/>
        <v>0</v>
      </c>
      <c r="M422" s="134"/>
      <c r="N422" s="46"/>
      <c r="O422" s="131"/>
      <c r="P422" s="45"/>
      <c r="Q422" s="80"/>
    </row>
    <row r="423" spans="1:17" s="36" customFormat="1" ht="32.25" hidden="1" customHeight="1">
      <c r="A423" s="100">
        <v>415</v>
      </c>
      <c r="B423" s="239"/>
      <c r="C423" s="257"/>
      <c r="D423" s="52"/>
      <c r="E423" s="49"/>
      <c r="F423" s="51"/>
      <c r="G423" s="112">
        <f t="shared" si="6"/>
        <v>0</v>
      </c>
      <c r="H423" s="50"/>
      <c r="I423" s="49"/>
      <c r="J423" s="48"/>
      <c r="K423" s="47"/>
      <c r="L423" s="112">
        <f t="shared" si="7"/>
        <v>0</v>
      </c>
      <c r="M423" s="134"/>
      <c r="N423" s="46"/>
      <c r="O423" s="131"/>
      <c r="P423" s="45"/>
      <c r="Q423" s="80"/>
    </row>
    <row r="424" spans="1:17" s="36" customFormat="1" ht="32.25" hidden="1" customHeight="1">
      <c r="A424" s="100">
        <v>416</v>
      </c>
      <c r="B424" s="239"/>
      <c r="C424" s="257"/>
      <c r="D424" s="52"/>
      <c r="E424" s="49"/>
      <c r="F424" s="51"/>
      <c r="G424" s="112">
        <f t="shared" si="6"/>
        <v>0</v>
      </c>
      <c r="H424" s="50"/>
      <c r="I424" s="49"/>
      <c r="J424" s="48"/>
      <c r="K424" s="47"/>
      <c r="L424" s="112">
        <f t="shared" si="7"/>
        <v>0</v>
      </c>
      <c r="M424" s="134"/>
      <c r="N424" s="46"/>
      <c r="O424" s="131"/>
      <c r="P424" s="45"/>
      <c r="Q424" s="80"/>
    </row>
    <row r="425" spans="1:17" s="36" customFormat="1" ht="32.25" hidden="1" customHeight="1">
      <c r="A425" s="100">
        <v>417</v>
      </c>
      <c r="B425" s="239"/>
      <c r="C425" s="257"/>
      <c r="D425" s="52"/>
      <c r="E425" s="49"/>
      <c r="F425" s="51"/>
      <c r="G425" s="112">
        <f t="shared" si="6"/>
        <v>0</v>
      </c>
      <c r="H425" s="50"/>
      <c r="I425" s="49"/>
      <c r="J425" s="48"/>
      <c r="K425" s="47"/>
      <c r="L425" s="112">
        <f t="shared" si="7"/>
        <v>0</v>
      </c>
      <c r="M425" s="134"/>
      <c r="N425" s="46"/>
      <c r="O425" s="131"/>
      <c r="P425" s="45"/>
      <c r="Q425" s="80"/>
    </row>
    <row r="426" spans="1:17" s="36" customFormat="1" ht="32.25" hidden="1" customHeight="1">
      <c r="A426" s="100">
        <v>418</v>
      </c>
      <c r="B426" s="239"/>
      <c r="C426" s="257"/>
      <c r="D426" s="52"/>
      <c r="E426" s="49"/>
      <c r="F426" s="51"/>
      <c r="G426" s="112">
        <f t="shared" si="6"/>
        <v>0</v>
      </c>
      <c r="H426" s="50"/>
      <c r="I426" s="49"/>
      <c r="J426" s="48"/>
      <c r="K426" s="47"/>
      <c r="L426" s="112">
        <f t="shared" si="7"/>
        <v>0</v>
      </c>
      <c r="M426" s="134"/>
      <c r="N426" s="46"/>
      <c r="O426" s="131"/>
      <c r="P426" s="45"/>
      <c r="Q426" s="80"/>
    </row>
    <row r="427" spans="1:17" s="36" customFormat="1" ht="32.25" hidden="1" customHeight="1">
      <c r="A427" s="100">
        <v>419</v>
      </c>
      <c r="B427" s="239"/>
      <c r="C427" s="257"/>
      <c r="D427" s="52"/>
      <c r="E427" s="49"/>
      <c r="F427" s="51"/>
      <c r="G427" s="112">
        <f t="shared" si="6"/>
        <v>0</v>
      </c>
      <c r="H427" s="50"/>
      <c r="I427" s="49"/>
      <c r="J427" s="48"/>
      <c r="K427" s="47"/>
      <c r="L427" s="112">
        <f t="shared" si="7"/>
        <v>0</v>
      </c>
      <c r="M427" s="134"/>
      <c r="N427" s="46"/>
      <c r="O427" s="131"/>
      <c r="P427" s="45"/>
      <c r="Q427" s="80"/>
    </row>
    <row r="428" spans="1:17" s="36" customFormat="1" ht="32.25" hidden="1" customHeight="1">
      <c r="A428" s="100">
        <v>420</v>
      </c>
      <c r="B428" s="239"/>
      <c r="C428" s="257"/>
      <c r="D428" s="52"/>
      <c r="E428" s="49"/>
      <c r="F428" s="51"/>
      <c r="G428" s="112">
        <f t="shared" si="6"/>
        <v>0</v>
      </c>
      <c r="H428" s="50"/>
      <c r="I428" s="49"/>
      <c r="J428" s="48"/>
      <c r="K428" s="47"/>
      <c r="L428" s="112">
        <f t="shared" si="7"/>
        <v>0</v>
      </c>
      <c r="M428" s="134"/>
      <c r="N428" s="46"/>
      <c r="O428" s="131"/>
      <c r="P428" s="45"/>
      <c r="Q428" s="80"/>
    </row>
    <row r="429" spans="1:17" s="36" customFormat="1" ht="32.25" hidden="1" customHeight="1">
      <c r="A429" s="100">
        <v>421</v>
      </c>
      <c r="B429" s="239"/>
      <c r="C429" s="257"/>
      <c r="D429" s="52"/>
      <c r="E429" s="49"/>
      <c r="F429" s="51"/>
      <c r="G429" s="112">
        <f t="shared" si="6"/>
        <v>0</v>
      </c>
      <c r="H429" s="50"/>
      <c r="I429" s="49"/>
      <c r="J429" s="48"/>
      <c r="K429" s="47"/>
      <c r="L429" s="112">
        <f t="shared" si="7"/>
        <v>0</v>
      </c>
      <c r="M429" s="134"/>
      <c r="N429" s="46"/>
      <c r="O429" s="131"/>
      <c r="P429" s="45"/>
      <c r="Q429" s="80"/>
    </row>
    <row r="430" spans="1:17" s="36" customFormat="1" ht="32.25" hidden="1" customHeight="1">
      <c r="A430" s="100">
        <v>422</v>
      </c>
      <c r="B430" s="239"/>
      <c r="C430" s="257"/>
      <c r="D430" s="52"/>
      <c r="E430" s="49"/>
      <c r="F430" s="51"/>
      <c r="G430" s="112">
        <f t="shared" si="6"/>
        <v>0</v>
      </c>
      <c r="H430" s="50"/>
      <c r="I430" s="49"/>
      <c r="J430" s="48"/>
      <c r="K430" s="47"/>
      <c r="L430" s="112">
        <f t="shared" si="7"/>
        <v>0</v>
      </c>
      <c r="M430" s="134"/>
      <c r="N430" s="46"/>
      <c r="O430" s="131"/>
      <c r="P430" s="45"/>
      <c r="Q430" s="80"/>
    </row>
    <row r="431" spans="1:17" s="36" customFormat="1" ht="32.25" hidden="1" customHeight="1">
      <c r="A431" s="100">
        <v>423</v>
      </c>
      <c r="B431" s="239"/>
      <c r="C431" s="257"/>
      <c r="D431" s="52"/>
      <c r="E431" s="49"/>
      <c r="F431" s="51"/>
      <c r="G431" s="112">
        <f t="shared" si="6"/>
        <v>0</v>
      </c>
      <c r="H431" s="50"/>
      <c r="I431" s="49"/>
      <c r="J431" s="48"/>
      <c r="K431" s="47"/>
      <c r="L431" s="112">
        <f t="shared" si="7"/>
        <v>0</v>
      </c>
      <c r="M431" s="134"/>
      <c r="N431" s="46"/>
      <c r="O431" s="131"/>
      <c r="P431" s="45"/>
      <c r="Q431" s="80"/>
    </row>
    <row r="432" spans="1:17" s="36" customFormat="1" ht="32.25" hidden="1" customHeight="1">
      <c r="A432" s="100">
        <v>424</v>
      </c>
      <c r="B432" s="239"/>
      <c r="C432" s="257"/>
      <c r="D432" s="52"/>
      <c r="E432" s="49"/>
      <c r="F432" s="51"/>
      <c r="G432" s="112">
        <f t="shared" si="6"/>
        <v>0</v>
      </c>
      <c r="H432" s="50"/>
      <c r="I432" s="49"/>
      <c r="J432" s="48"/>
      <c r="K432" s="47"/>
      <c r="L432" s="112">
        <f t="shared" si="7"/>
        <v>0</v>
      </c>
      <c r="M432" s="134"/>
      <c r="N432" s="46"/>
      <c r="O432" s="131"/>
      <c r="P432" s="45"/>
      <c r="Q432" s="80"/>
    </row>
    <row r="433" spans="1:17" s="36" customFormat="1" ht="32.25" hidden="1" customHeight="1">
      <c r="A433" s="100">
        <v>425</v>
      </c>
      <c r="B433" s="239"/>
      <c r="C433" s="257"/>
      <c r="D433" s="52"/>
      <c r="E433" s="49"/>
      <c r="F433" s="51"/>
      <c r="G433" s="112">
        <f t="shared" si="6"/>
        <v>0</v>
      </c>
      <c r="H433" s="50"/>
      <c r="I433" s="49"/>
      <c r="J433" s="48"/>
      <c r="K433" s="47"/>
      <c r="L433" s="112">
        <f t="shared" si="7"/>
        <v>0</v>
      </c>
      <c r="M433" s="134"/>
      <c r="N433" s="46"/>
      <c r="O433" s="131"/>
      <c r="P433" s="45"/>
      <c r="Q433" s="80"/>
    </row>
    <row r="434" spans="1:17" s="36" customFormat="1" ht="32.25" hidden="1" customHeight="1">
      <c r="A434" s="100">
        <v>426</v>
      </c>
      <c r="B434" s="239"/>
      <c r="C434" s="257"/>
      <c r="D434" s="52"/>
      <c r="E434" s="49"/>
      <c r="F434" s="51"/>
      <c r="G434" s="112">
        <f t="shared" si="6"/>
        <v>0</v>
      </c>
      <c r="H434" s="50"/>
      <c r="I434" s="49"/>
      <c r="J434" s="48"/>
      <c r="K434" s="47"/>
      <c r="L434" s="112">
        <f t="shared" si="7"/>
        <v>0</v>
      </c>
      <c r="M434" s="134"/>
      <c r="N434" s="46"/>
      <c r="O434" s="131"/>
      <c r="P434" s="45"/>
      <c r="Q434" s="80"/>
    </row>
    <row r="435" spans="1:17" s="36" customFormat="1" ht="32.25" hidden="1" customHeight="1">
      <c r="A435" s="100">
        <v>427</v>
      </c>
      <c r="B435" s="239"/>
      <c r="C435" s="257"/>
      <c r="D435" s="52"/>
      <c r="E435" s="49"/>
      <c r="F435" s="51"/>
      <c r="G435" s="112">
        <f t="shared" si="6"/>
        <v>0</v>
      </c>
      <c r="H435" s="50"/>
      <c r="I435" s="49"/>
      <c r="J435" s="48"/>
      <c r="K435" s="47"/>
      <c r="L435" s="112">
        <f t="shared" si="7"/>
        <v>0</v>
      </c>
      <c r="M435" s="134"/>
      <c r="N435" s="46"/>
      <c r="O435" s="131"/>
      <c r="P435" s="45"/>
      <c r="Q435" s="80"/>
    </row>
    <row r="436" spans="1:17" s="36" customFormat="1" ht="32.25" hidden="1" customHeight="1">
      <c r="A436" s="100">
        <v>428</v>
      </c>
      <c r="B436" s="239"/>
      <c r="C436" s="257"/>
      <c r="D436" s="52"/>
      <c r="E436" s="49"/>
      <c r="F436" s="51"/>
      <c r="G436" s="112">
        <f t="shared" si="6"/>
        <v>0</v>
      </c>
      <c r="H436" s="50"/>
      <c r="I436" s="49"/>
      <c r="J436" s="48"/>
      <c r="K436" s="47"/>
      <c r="L436" s="112">
        <f t="shared" si="7"/>
        <v>0</v>
      </c>
      <c r="M436" s="134"/>
      <c r="N436" s="46"/>
      <c r="O436" s="131"/>
      <c r="P436" s="45"/>
      <c r="Q436" s="80"/>
    </row>
    <row r="437" spans="1:17" s="36" customFormat="1" ht="32.25" hidden="1" customHeight="1">
      <c r="A437" s="100">
        <v>429</v>
      </c>
      <c r="B437" s="239"/>
      <c r="C437" s="257"/>
      <c r="D437" s="52"/>
      <c r="E437" s="49"/>
      <c r="F437" s="51"/>
      <c r="G437" s="112">
        <f t="shared" si="6"/>
        <v>0</v>
      </c>
      <c r="H437" s="50"/>
      <c r="I437" s="49"/>
      <c r="J437" s="48"/>
      <c r="K437" s="47"/>
      <c r="L437" s="112">
        <f t="shared" si="7"/>
        <v>0</v>
      </c>
      <c r="M437" s="134"/>
      <c r="N437" s="46"/>
      <c r="O437" s="131"/>
      <c r="P437" s="45"/>
      <c r="Q437" s="80"/>
    </row>
    <row r="438" spans="1:17" s="36" customFormat="1" ht="32.25" hidden="1" customHeight="1">
      <c r="A438" s="100">
        <v>430</v>
      </c>
      <c r="B438" s="239"/>
      <c r="C438" s="257"/>
      <c r="D438" s="52"/>
      <c r="E438" s="49"/>
      <c r="F438" s="51"/>
      <c r="G438" s="112">
        <f t="shared" si="6"/>
        <v>0</v>
      </c>
      <c r="H438" s="50"/>
      <c r="I438" s="49"/>
      <c r="J438" s="48"/>
      <c r="K438" s="47"/>
      <c r="L438" s="112">
        <f t="shared" si="7"/>
        <v>0</v>
      </c>
      <c r="M438" s="134"/>
      <c r="N438" s="46"/>
      <c r="O438" s="131"/>
      <c r="P438" s="45"/>
      <c r="Q438" s="80"/>
    </row>
    <row r="439" spans="1:17" s="36" customFormat="1" ht="32.25" hidden="1" customHeight="1">
      <c r="A439" s="100">
        <v>431</v>
      </c>
      <c r="B439" s="239"/>
      <c r="C439" s="257"/>
      <c r="D439" s="52"/>
      <c r="E439" s="49"/>
      <c r="F439" s="51"/>
      <c r="G439" s="112">
        <f t="shared" si="6"/>
        <v>0</v>
      </c>
      <c r="H439" s="50"/>
      <c r="I439" s="49"/>
      <c r="J439" s="48"/>
      <c r="K439" s="47"/>
      <c r="L439" s="112">
        <f t="shared" si="7"/>
        <v>0</v>
      </c>
      <c r="M439" s="134"/>
      <c r="N439" s="46"/>
      <c r="O439" s="131"/>
      <c r="P439" s="45"/>
      <c r="Q439" s="80"/>
    </row>
    <row r="440" spans="1:17" s="36" customFormat="1" ht="32.25" hidden="1" customHeight="1">
      <c r="A440" s="100">
        <v>432</v>
      </c>
      <c r="B440" s="239"/>
      <c r="C440" s="257"/>
      <c r="D440" s="52"/>
      <c r="E440" s="49"/>
      <c r="F440" s="51"/>
      <c r="G440" s="112">
        <f t="shared" si="6"/>
        <v>0</v>
      </c>
      <c r="H440" s="50"/>
      <c r="I440" s="49"/>
      <c r="J440" s="48"/>
      <c r="K440" s="47"/>
      <c r="L440" s="112">
        <f t="shared" si="7"/>
        <v>0</v>
      </c>
      <c r="M440" s="134"/>
      <c r="N440" s="46"/>
      <c r="O440" s="131"/>
      <c r="P440" s="45"/>
      <c r="Q440" s="80"/>
    </row>
    <row r="441" spans="1:17" s="36" customFormat="1" ht="32.25" hidden="1" customHeight="1">
      <c r="A441" s="100">
        <v>433</v>
      </c>
      <c r="B441" s="239"/>
      <c r="C441" s="257"/>
      <c r="D441" s="52"/>
      <c r="E441" s="49"/>
      <c r="F441" s="51"/>
      <c r="G441" s="112">
        <f t="shared" si="6"/>
        <v>0</v>
      </c>
      <c r="H441" s="50"/>
      <c r="I441" s="49"/>
      <c r="J441" s="48"/>
      <c r="K441" s="47"/>
      <c r="L441" s="112">
        <f t="shared" si="7"/>
        <v>0</v>
      </c>
      <c r="M441" s="134"/>
      <c r="N441" s="46"/>
      <c r="O441" s="131"/>
      <c r="P441" s="45"/>
      <c r="Q441" s="80"/>
    </row>
    <row r="442" spans="1:17" s="36" customFormat="1" ht="32.25" hidden="1" customHeight="1">
      <c r="A442" s="100">
        <v>434</v>
      </c>
      <c r="B442" s="239"/>
      <c r="C442" s="257"/>
      <c r="D442" s="52"/>
      <c r="E442" s="49"/>
      <c r="F442" s="51"/>
      <c r="G442" s="112">
        <f t="shared" si="6"/>
        <v>0</v>
      </c>
      <c r="H442" s="50"/>
      <c r="I442" s="49"/>
      <c r="J442" s="48"/>
      <c r="K442" s="47"/>
      <c r="L442" s="112">
        <f t="shared" si="7"/>
        <v>0</v>
      </c>
      <c r="M442" s="134"/>
      <c r="N442" s="46"/>
      <c r="O442" s="131"/>
      <c r="P442" s="45"/>
      <c r="Q442" s="80"/>
    </row>
    <row r="443" spans="1:17" s="36" customFormat="1" ht="32.25" hidden="1" customHeight="1">
      <c r="A443" s="100">
        <v>435</v>
      </c>
      <c r="B443" s="239"/>
      <c r="C443" s="257"/>
      <c r="D443" s="52"/>
      <c r="E443" s="49"/>
      <c r="F443" s="51"/>
      <c r="G443" s="112">
        <f t="shared" si="6"/>
        <v>0</v>
      </c>
      <c r="H443" s="50"/>
      <c r="I443" s="49"/>
      <c r="J443" s="48"/>
      <c r="K443" s="47"/>
      <c r="L443" s="112">
        <f t="shared" si="7"/>
        <v>0</v>
      </c>
      <c r="M443" s="134"/>
      <c r="N443" s="46"/>
      <c r="O443" s="131"/>
      <c r="P443" s="45"/>
      <c r="Q443" s="80"/>
    </row>
    <row r="444" spans="1:17" s="36" customFormat="1" ht="32.25" hidden="1" customHeight="1">
      <c r="A444" s="100">
        <v>436</v>
      </c>
      <c r="B444" s="239"/>
      <c r="C444" s="257"/>
      <c r="D444" s="52"/>
      <c r="E444" s="49"/>
      <c r="F444" s="51"/>
      <c r="G444" s="112">
        <f t="shared" si="6"/>
        <v>0</v>
      </c>
      <c r="H444" s="50"/>
      <c r="I444" s="49"/>
      <c r="J444" s="48"/>
      <c r="K444" s="47"/>
      <c r="L444" s="112">
        <f t="shared" si="7"/>
        <v>0</v>
      </c>
      <c r="M444" s="134"/>
      <c r="N444" s="46"/>
      <c r="O444" s="131"/>
      <c r="P444" s="45"/>
      <c r="Q444" s="80"/>
    </row>
    <row r="445" spans="1:17" s="36" customFormat="1" ht="32.25" hidden="1" customHeight="1">
      <c r="A445" s="100">
        <v>437</v>
      </c>
      <c r="B445" s="239"/>
      <c r="C445" s="257"/>
      <c r="D445" s="52"/>
      <c r="E445" s="49"/>
      <c r="F445" s="51"/>
      <c r="G445" s="112">
        <f t="shared" si="6"/>
        <v>0</v>
      </c>
      <c r="H445" s="50"/>
      <c r="I445" s="49"/>
      <c r="J445" s="48"/>
      <c r="K445" s="47"/>
      <c r="L445" s="112">
        <f t="shared" si="7"/>
        <v>0</v>
      </c>
      <c r="M445" s="134"/>
      <c r="N445" s="46"/>
      <c r="O445" s="131"/>
      <c r="P445" s="45"/>
      <c r="Q445" s="80"/>
    </row>
    <row r="446" spans="1:17" s="36" customFormat="1" ht="32.25" hidden="1" customHeight="1">
      <c r="A446" s="100">
        <v>438</v>
      </c>
      <c r="B446" s="239"/>
      <c r="C446" s="257"/>
      <c r="D446" s="52"/>
      <c r="E446" s="49"/>
      <c r="F446" s="51"/>
      <c r="G446" s="112">
        <f t="shared" si="6"/>
        <v>0</v>
      </c>
      <c r="H446" s="50"/>
      <c r="I446" s="49"/>
      <c r="J446" s="48"/>
      <c r="K446" s="47"/>
      <c r="L446" s="112">
        <f t="shared" si="7"/>
        <v>0</v>
      </c>
      <c r="M446" s="134"/>
      <c r="N446" s="46"/>
      <c r="O446" s="131"/>
      <c r="P446" s="45"/>
      <c r="Q446" s="80"/>
    </row>
    <row r="447" spans="1:17" s="36" customFormat="1" ht="32.25" hidden="1" customHeight="1">
      <c r="A447" s="100">
        <v>439</v>
      </c>
      <c r="B447" s="239"/>
      <c r="C447" s="257"/>
      <c r="D447" s="52"/>
      <c r="E447" s="49"/>
      <c r="F447" s="51"/>
      <c r="G447" s="112">
        <f t="shared" si="6"/>
        <v>0</v>
      </c>
      <c r="H447" s="50"/>
      <c r="I447" s="49"/>
      <c r="J447" s="48"/>
      <c r="K447" s="47"/>
      <c r="L447" s="112">
        <f t="shared" si="7"/>
        <v>0</v>
      </c>
      <c r="M447" s="134"/>
      <c r="N447" s="46"/>
      <c r="O447" s="131"/>
      <c r="P447" s="45"/>
      <c r="Q447" s="80"/>
    </row>
    <row r="448" spans="1:17" s="36" customFormat="1" ht="32.25" hidden="1" customHeight="1">
      <c r="A448" s="100">
        <v>440</v>
      </c>
      <c r="B448" s="239"/>
      <c r="C448" s="257"/>
      <c r="D448" s="52"/>
      <c r="E448" s="49"/>
      <c r="F448" s="51"/>
      <c r="G448" s="112">
        <f t="shared" si="6"/>
        <v>0</v>
      </c>
      <c r="H448" s="50"/>
      <c r="I448" s="49"/>
      <c r="J448" s="48"/>
      <c r="K448" s="47"/>
      <c r="L448" s="112">
        <f t="shared" si="7"/>
        <v>0</v>
      </c>
      <c r="M448" s="134"/>
      <c r="N448" s="46"/>
      <c r="O448" s="131"/>
      <c r="P448" s="45"/>
      <c r="Q448" s="80"/>
    </row>
    <row r="449" spans="1:17" s="36" customFormat="1" ht="32.25" hidden="1" customHeight="1">
      <c r="A449" s="100">
        <v>441</v>
      </c>
      <c r="B449" s="239"/>
      <c r="C449" s="257"/>
      <c r="D449" s="52"/>
      <c r="E449" s="49"/>
      <c r="F449" s="51"/>
      <c r="G449" s="112">
        <f t="shared" si="6"/>
        <v>0</v>
      </c>
      <c r="H449" s="50"/>
      <c r="I449" s="49"/>
      <c r="J449" s="48"/>
      <c r="K449" s="47"/>
      <c r="L449" s="112">
        <f t="shared" si="7"/>
        <v>0</v>
      </c>
      <c r="M449" s="134"/>
      <c r="N449" s="46"/>
      <c r="O449" s="131"/>
      <c r="P449" s="45"/>
      <c r="Q449" s="80"/>
    </row>
    <row r="450" spans="1:17" s="36" customFormat="1" ht="32.25" hidden="1" customHeight="1">
      <c r="A450" s="100">
        <v>442</v>
      </c>
      <c r="B450" s="239"/>
      <c r="C450" s="257"/>
      <c r="D450" s="52"/>
      <c r="E450" s="49"/>
      <c r="F450" s="51"/>
      <c r="G450" s="112">
        <f t="shared" si="6"/>
        <v>0</v>
      </c>
      <c r="H450" s="50"/>
      <c r="I450" s="49"/>
      <c r="J450" s="48"/>
      <c r="K450" s="47"/>
      <c r="L450" s="112">
        <f t="shared" si="7"/>
        <v>0</v>
      </c>
      <c r="M450" s="134"/>
      <c r="N450" s="46"/>
      <c r="O450" s="131"/>
      <c r="P450" s="45"/>
      <c r="Q450" s="80"/>
    </row>
    <row r="451" spans="1:17" s="36" customFormat="1" ht="32.25" hidden="1" customHeight="1">
      <c r="A451" s="100">
        <v>443</v>
      </c>
      <c r="B451" s="239"/>
      <c r="C451" s="257"/>
      <c r="D451" s="52"/>
      <c r="E451" s="49"/>
      <c r="F451" s="51"/>
      <c r="G451" s="112">
        <f t="shared" si="6"/>
        <v>0</v>
      </c>
      <c r="H451" s="50"/>
      <c r="I451" s="49"/>
      <c r="J451" s="48"/>
      <c r="K451" s="47"/>
      <c r="L451" s="112">
        <f t="shared" si="7"/>
        <v>0</v>
      </c>
      <c r="M451" s="134"/>
      <c r="N451" s="46"/>
      <c r="O451" s="131"/>
      <c r="P451" s="45"/>
      <c r="Q451" s="80"/>
    </row>
    <row r="452" spans="1:17" s="36" customFormat="1" ht="32.25" hidden="1" customHeight="1">
      <c r="A452" s="100">
        <v>444</v>
      </c>
      <c r="B452" s="239"/>
      <c r="C452" s="257"/>
      <c r="D452" s="52"/>
      <c r="E452" s="49"/>
      <c r="F452" s="51"/>
      <c r="G452" s="112">
        <f t="shared" si="6"/>
        <v>0</v>
      </c>
      <c r="H452" s="50"/>
      <c r="I452" s="49"/>
      <c r="J452" s="48"/>
      <c r="K452" s="47"/>
      <c r="L452" s="112">
        <f t="shared" si="7"/>
        <v>0</v>
      </c>
      <c r="M452" s="134"/>
      <c r="N452" s="46"/>
      <c r="O452" s="131"/>
      <c r="P452" s="45"/>
      <c r="Q452" s="80"/>
    </row>
    <row r="453" spans="1:17" s="36" customFormat="1" ht="32.25" hidden="1" customHeight="1">
      <c r="A453" s="100">
        <v>445</v>
      </c>
      <c r="B453" s="239"/>
      <c r="C453" s="257"/>
      <c r="D453" s="52"/>
      <c r="E453" s="49"/>
      <c r="F453" s="51"/>
      <c r="G453" s="112">
        <f t="shared" si="6"/>
        <v>0</v>
      </c>
      <c r="H453" s="50"/>
      <c r="I453" s="49"/>
      <c r="J453" s="48"/>
      <c r="K453" s="47"/>
      <c r="L453" s="112">
        <f t="shared" si="7"/>
        <v>0</v>
      </c>
      <c r="M453" s="134"/>
      <c r="N453" s="46"/>
      <c r="O453" s="131"/>
      <c r="P453" s="45"/>
      <c r="Q453" s="80"/>
    </row>
    <row r="454" spans="1:17" s="36" customFormat="1" ht="32.25" hidden="1" customHeight="1">
      <c r="A454" s="100">
        <v>446</v>
      </c>
      <c r="B454" s="239"/>
      <c r="C454" s="257"/>
      <c r="D454" s="52"/>
      <c r="E454" s="49"/>
      <c r="F454" s="51"/>
      <c r="G454" s="112">
        <f t="shared" ref="G454:G508" si="8">E454+F454</f>
        <v>0</v>
      </c>
      <c r="H454" s="50"/>
      <c r="I454" s="49"/>
      <c r="J454" s="48"/>
      <c r="K454" s="47"/>
      <c r="L454" s="112">
        <f t="shared" ref="L454:L508" si="9">G454-H454-I454-K454</f>
        <v>0</v>
      </c>
      <c r="M454" s="134"/>
      <c r="N454" s="46"/>
      <c r="O454" s="131"/>
      <c r="P454" s="45"/>
      <c r="Q454" s="80"/>
    </row>
    <row r="455" spans="1:17" s="36" customFormat="1" ht="32.25" hidden="1" customHeight="1">
      <c r="A455" s="100">
        <v>447</v>
      </c>
      <c r="B455" s="239"/>
      <c r="C455" s="257"/>
      <c r="D455" s="52"/>
      <c r="E455" s="49"/>
      <c r="F455" s="51"/>
      <c r="G455" s="112">
        <f t="shared" si="8"/>
        <v>0</v>
      </c>
      <c r="H455" s="50"/>
      <c r="I455" s="49"/>
      <c r="J455" s="48"/>
      <c r="K455" s="47"/>
      <c r="L455" s="112">
        <f t="shared" si="9"/>
        <v>0</v>
      </c>
      <c r="M455" s="134"/>
      <c r="N455" s="46"/>
      <c r="O455" s="131"/>
      <c r="P455" s="45"/>
      <c r="Q455" s="80"/>
    </row>
    <row r="456" spans="1:17" s="36" customFormat="1" ht="32.25" hidden="1" customHeight="1">
      <c r="A456" s="100">
        <v>448</v>
      </c>
      <c r="B456" s="239"/>
      <c r="C456" s="257"/>
      <c r="D456" s="52"/>
      <c r="E456" s="49"/>
      <c r="F456" s="51"/>
      <c r="G456" s="112">
        <f t="shared" si="8"/>
        <v>0</v>
      </c>
      <c r="H456" s="50"/>
      <c r="I456" s="49"/>
      <c r="J456" s="48"/>
      <c r="K456" s="47"/>
      <c r="L456" s="112">
        <f t="shared" si="9"/>
        <v>0</v>
      </c>
      <c r="M456" s="134"/>
      <c r="N456" s="46"/>
      <c r="O456" s="131"/>
      <c r="P456" s="45"/>
      <c r="Q456" s="80"/>
    </row>
    <row r="457" spans="1:17" s="36" customFormat="1" ht="32.25" hidden="1" customHeight="1">
      <c r="A457" s="100">
        <v>449</v>
      </c>
      <c r="B457" s="239"/>
      <c r="C457" s="257"/>
      <c r="D457" s="52"/>
      <c r="E457" s="49"/>
      <c r="F457" s="51"/>
      <c r="G457" s="112">
        <f t="shared" si="8"/>
        <v>0</v>
      </c>
      <c r="H457" s="50"/>
      <c r="I457" s="49"/>
      <c r="J457" s="48"/>
      <c r="K457" s="47"/>
      <c r="L457" s="112">
        <f t="shared" si="9"/>
        <v>0</v>
      </c>
      <c r="M457" s="134"/>
      <c r="N457" s="46"/>
      <c r="O457" s="131"/>
      <c r="P457" s="45"/>
      <c r="Q457" s="80"/>
    </row>
    <row r="458" spans="1:17" s="36" customFormat="1" ht="32.25" hidden="1" customHeight="1">
      <c r="A458" s="100">
        <v>450</v>
      </c>
      <c r="B458" s="239"/>
      <c r="C458" s="257"/>
      <c r="D458" s="52"/>
      <c r="E458" s="49"/>
      <c r="F458" s="51"/>
      <c r="G458" s="112">
        <f t="shared" si="8"/>
        <v>0</v>
      </c>
      <c r="H458" s="50"/>
      <c r="I458" s="49"/>
      <c r="J458" s="48"/>
      <c r="K458" s="47"/>
      <c r="L458" s="112">
        <f t="shared" si="9"/>
        <v>0</v>
      </c>
      <c r="M458" s="134"/>
      <c r="N458" s="46"/>
      <c r="O458" s="131"/>
      <c r="P458" s="45"/>
      <c r="Q458" s="80"/>
    </row>
    <row r="459" spans="1:17" s="36" customFormat="1" ht="32.25" hidden="1" customHeight="1">
      <c r="A459" s="100">
        <v>451</v>
      </c>
      <c r="B459" s="239"/>
      <c r="C459" s="257"/>
      <c r="D459" s="52"/>
      <c r="E459" s="49"/>
      <c r="F459" s="51"/>
      <c r="G459" s="112">
        <f t="shared" si="8"/>
        <v>0</v>
      </c>
      <c r="H459" s="50"/>
      <c r="I459" s="49"/>
      <c r="J459" s="48"/>
      <c r="K459" s="47"/>
      <c r="L459" s="112">
        <f t="shared" si="9"/>
        <v>0</v>
      </c>
      <c r="M459" s="134"/>
      <c r="N459" s="46"/>
      <c r="O459" s="131"/>
      <c r="P459" s="45"/>
      <c r="Q459" s="80"/>
    </row>
    <row r="460" spans="1:17" s="36" customFormat="1" ht="32.25" hidden="1" customHeight="1">
      <c r="A460" s="100">
        <v>452</v>
      </c>
      <c r="B460" s="239"/>
      <c r="C460" s="257"/>
      <c r="D460" s="52"/>
      <c r="E460" s="49"/>
      <c r="F460" s="51"/>
      <c r="G460" s="112">
        <f t="shared" si="8"/>
        <v>0</v>
      </c>
      <c r="H460" s="50"/>
      <c r="I460" s="49"/>
      <c r="J460" s="48"/>
      <c r="K460" s="47"/>
      <c r="L460" s="112">
        <f t="shared" si="9"/>
        <v>0</v>
      </c>
      <c r="M460" s="134"/>
      <c r="N460" s="46"/>
      <c r="O460" s="131"/>
      <c r="P460" s="45"/>
      <c r="Q460" s="80"/>
    </row>
    <row r="461" spans="1:17" s="36" customFormat="1" ht="32.25" hidden="1" customHeight="1">
      <c r="A461" s="100">
        <v>453</v>
      </c>
      <c r="B461" s="239"/>
      <c r="C461" s="257"/>
      <c r="D461" s="52"/>
      <c r="E461" s="49"/>
      <c r="F461" s="51"/>
      <c r="G461" s="112">
        <f t="shared" si="8"/>
        <v>0</v>
      </c>
      <c r="H461" s="50"/>
      <c r="I461" s="49"/>
      <c r="J461" s="48"/>
      <c r="K461" s="47"/>
      <c r="L461" s="112">
        <f t="shared" si="9"/>
        <v>0</v>
      </c>
      <c r="M461" s="134"/>
      <c r="N461" s="46"/>
      <c r="O461" s="131"/>
      <c r="P461" s="45"/>
      <c r="Q461" s="80"/>
    </row>
    <row r="462" spans="1:17" s="36" customFormat="1" ht="32.25" hidden="1" customHeight="1">
      <c r="A462" s="100">
        <v>454</v>
      </c>
      <c r="B462" s="239"/>
      <c r="C462" s="257"/>
      <c r="D462" s="52"/>
      <c r="E462" s="49"/>
      <c r="F462" s="51"/>
      <c r="G462" s="112">
        <f t="shared" si="8"/>
        <v>0</v>
      </c>
      <c r="H462" s="50"/>
      <c r="I462" s="49"/>
      <c r="J462" s="48"/>
      <c r="K462" s="47"/>
      <c r="L462" s="112">
        <f t="shared" si="9"/>
        <v>0</v>
      </c>
      <c r="M462" s="134"/>
      <c r="N462" s="46"/>
      <c r="O462" s="131"/>
      <c r="P462" s="45"/>
      <c r="Q462" s="80"/>
    </row>
    <row r="463" spans="1:17" s="36" customFormat="1" ht="32.25" hidden="1" customHeight="1">
      <c r="A463" s="100">
        <v>455</v>
      </c>
      <c r="B463" s="239"/>
      <c r="C463" s="257"/>
      <c r="D463" s="52"/>
      <c r="E463" s="49"/>
      <c r="F463" s="51"/>
      <c r="G463" s="112">
        <f t="shared" si="8"/>
        <v>0</v>
      </c>
      <c r="H463" s="50"/>
      <c r="I463" s="49"/>
      <c r="J463" s="48"/>
      <c r="K463" s="47"/>
      <c r="L463" s="112">
        <f t="shared" si="9"/>
        <v>0</v>
      </c>
      <c r="M463" s="134"/>
      <c r="N463" s="46"/>
      <c r="O463" s="131"/>
      <c r="P463" s="45"/>
      <c r="Q463" s="80"/>
    </row>
    <row r="464" spans="1:17" s="36" customFormat="1" ht="32.25" hidden="1" customHeight="1">
      <c r="A464" s="100">
        <v>456</v>
      </c>
      <c r="B464" s="239"/>
      <c r="C464" s="257"/>
      <c r="D464" s="52"/>
      <c r="E464" s="49"/>
      <c r="F464" s="51"/>
      <c r="G464" s="112">
        <f t="shared" si="8"/>
        <v>0</v>
      </c>
      <c r="H464" s="50"/>
      <c r="I464" s="49"/>
      <c r="J464" s="48"/>
      <c r="K464" s="47"/>
      <c r="L464" s="112">
        <f t="shared" si="9"/>
        <v>0</v>
      </c>
      <c r="M464" s="134"/>
      <c r="N464" s="46"/>
      <c r="O464" s="131"/>
      <c r="P464" s="45"/>
      <c r="Q464" s="80"/>
    </row>
    <row r="465" spans="1:17" s="36" customFormat="1" ht="32.25" hidden="1" customHeight="1">
      <c r="A465" s="100">
        <v>457</v>
      </c>
      <c r="B465" s="239"/>
      <c r="C465" s="257"/>
      <c r="D465" s="52"/>
      <c r="E465" s="49"/>
      <c r="F465" s="51"/>
      <c r="G465" s="112">
        <f t="shared" si="8"/>
        <v>0</v>
      </c>
      <c r="H465" s="50"/>
      <c r="I465" s="49"/>
      <c r="J465" s="48"/>
      <c r="K465" s="47"/>
      <c r="L465" s="112">
        <f t="shared" si="9"/>
        <v>0</v>
      </c>
      <c r="M465" s="134"/>
      <c r="N465" s="46"/>
      <c r="O465" s="131"/>
      <c r="P465" s="45"/>
      <c r="Q465" s="80"/>
    </row>
    <row r="466" spans="1:17" s="36" customFormat="1" ht="32.25" hidden="1" customHeight="1">
      <c r="A466" s="100">
        <v>458</v>
      </c>
      <c r="B466" s="239"/>
      <c r="C466" s="257"/>
      <c r="D466" s="52"/>
      <c r="E466" s="49"/>
      <c r="F466" s="51"/>
      <c r="G466" s="112">
        <f t="shared" si="8"/>
        <v>0</v>
      </c>
      <c r="H466" s="50"/>
      <c r="I466" s="49"/>
      <c r="J466" s="48"/>
      <c r="K466" s="47"/>
      <c r="L466" s="112">
        <f t="shared" si="9"/>
        <v>0</v>
      </c>
      <c r="M466" s="134"/>
      <c r="N466" s="46"/>
      <c r="O466" s="131"/>
      <c r="P466" s="45"/>
      <c r="Q466" s="80"/>
    </row>
    <row r="467" spans="1:17" s="36" customFormat="1" ht="32.25" hidden="1" customHeight="1">
      <c r="A467" s="100">
        <v>459</v>
      </c>
      <c r="B467" s="239"/>
      <c r="C467" s="257"/>
      <c r="D467" s="52"/>
      <c r="E467" s="49"/>
      <c r="F467" s="51"/>
      <c r="G467" s="112">
        <f t="shared" si="8"/>
        <v>0</v>
      </c>
      <c r="H467" s="50"/>
      <c r="I467" s="49"/>
      <c r="J467" s="48"/>
      <c r="K467" s="47"/>
      <c r="L467" s="112">
        <f t="shared" si="9"/>
        <v>0</v>
      </c>
      <c r="M467" s="134"/>
      <c r="N467" s="46"/>
      <c r="O467" s="131"/>
      <c r="P467" s="45"/>
      <c r="Q467" s="80"/>
    </row>
    <row r="468" spans="1:17" s="36" customFormat="1" ht="32.25" hidden="1" customHeight="1">
      <c r="A468" s="100">
        <v>460</v>
      </c>
      <c r="B468" s="239"/>
      <c r="C468" s="257"/>
      <c r="D468" s="52"/>
      <c r="E468" s="49"/>
      <c r="F468" s="51"/>
      <c r="G468" s="112">
        <f t="shared" si="8"/>
        <v>0</v>
      </c>
      <c r="H468" s="50"/>
      <c r="I468" s="49"/>
      <c r="J468" s="48"/>
      <c r="K468" s="47"/>
      <c r="L468" s="112">
        <f t="shared" si="9"/>
        <v>0</v>
      </c>
      <c r="M468" s="134"/>
      <c r="N468" s="46"/>
      <c r="O468" s="131"/>
      <c r="P468" s="45"/>
      <c r="Q468" s="80"/>
    </row>
    <row r="469" spans="1:17" s="36" customFormat="1" ht="32.25" hidden="1" customHeight="1">
      <c r="A469" s="100">
        <v>461</v>
      </c>
      <c r="B469" s="239"/>
      <c r="C469" s="257"/>
      <c r="D469" s="52"/>
      <c r="E469" s="49"/>
      <c r="F469" s="51"/>
      <c r="G469" s="112">
        <f t="shared" si="8"/>
        <v>0</v>
      </c>
      <c r="H469" s="50"/>
      <c r="I469" s="49"/>
      <c r="J469" s="48"/>
      <c r="K469" s="47"/>
      <c r="L469" s="112">
        <f t="shared" si="9"/>
        <v>0</v>
      </c>
      <c r="M469" s="134"/>
      <c r="N469" s="46"/>
      <c r="O469" s="131"/>
      <c r="P469" s="45"/>
      <c r="Q469" s="80"/>
    </row>
    <row r="470" spans="1:17" s="36" customFormat="1" ht="32.25" hidden="1" customHeight="1">
      <c r="A470" s="100">
        <v>462</v>
      </c>
      <c r="B470" s="239"/>
      <c r="C470" s="257"/>
      <c r="D470" s="52"/>
      <c r="E470" s="49"/>
      <c r="F470" s="51"/>
      <c r="G470" s="112">
        <f t="shared" si="8"/>
        <v>0</v>
      </c>
      <c r="H470" s="50"/>
      <c r="I470" s="49"/>
      <c r="J470" s="48"/>
      <c r="K470" s="47"/>
      <c r="L470" s="112">
        <f t="shared" si="9"/>
        <v>0</v>
      </c>
      <c r="M470" s="134"/>
      <c r="N470" s="46"/>
      <c r="O470" s="131"/>
      <c r="P470" s="45"/>
      <c r="Q470" s="80"/>
    </row>
    <row r="471" spans="1:17" s="36" customFormat="1" ht="32.25" hidden="1" customHeight="1">
      <c r="A471" s="100">
        <v>463</v>
      </c>
      <c r="B471" s="239"/>
      <c r="C471" s="257"/>
      <c r="D471" s="52"/>
      <c r="E471" s="49"/>
      <c r="F471" s="51"/>
      <c r="G471" s="112">
        <f t="shared" si="8"/>
        <v>0</v>
      </c>
      <c r="H471" s="50"/>
      <c r="I471" s="49"/>
      <c r="J471" s="48"/>
      <c r="K471" s="47"/>
      <c r="L471" s="112">
        <f t="shared" si="9"/>
        <v>0</v>
      </c>
      <c r="M471" s="134"/>
      <c r="N471" s="46"/>
      <c r="O471" s="131"/>
      <c r="P471" s="45"/>
      <c r="Q471" s="80"/>
    </row>
    <row r="472" spans="1:17" s="36" customFormat="1" ht="32.25" hidden="1" customHeight="1">
      <c r="A472" s="100">
        <v>464</v>
      </c>
      <c r="B472" s="239"/>
      <c r="C472" s="257"/>
      <c r="D472" s="52"/>
      <c r="E472" s="49"/>
      <c r="F472" s="51"/>
      <c r="G472" s="112">
        <f t="shared" si="8"/>
        <v>0</v>
      </c>
      <c r="H472" s="50"/>
      <c r="I472" s="49"/>
      <c r="J472" s="48"/>
      <c r="K472" s="47"/>
      <c r="L472" s="112">
        <f t="shared" si="9"/>
        <v>0</v>
      </c>
      <c r="M472" s="134"/>
      <c r="N472" s="46"/>
      <c r="O472" s="131"/>
      <c r="P472" s="45"/>
      <c r="Q472" s="80"/>
    </row>
    <row r="473" spans="1:17" s="36" customFormat="1" ht="32.25" hidden="1" customHeight="1">
      <c r="A473" s="100">
        <v>465</v>
      </c>
      <c r="B473" s="239"/>
      <c r="C473" s="257"/>
      <c r="D473" s="52"/>
      <c r="E473" s="49"/>
      <c r="F473" s="51"/>
      <c r="G473" s="112">
        <f t="shared" si="8"/>
        <v>0</v>
      </c>
      <c r="H473" s="50"/>
      <c r="I473" s="49"/>
      <c r="J473" s="48"/>
      <c r="K473" s="47"/>
      <c r="L473" s="112">
        <f t="shared" si="9"/>
        <v>0</v>
      </c>
      <c r="M473" s="134"/>
      <c r="N473" s="46"/>
      <c r="O473" s="131"/>
      <c r="P473" s="45"/>
      <c r="Q473" s="80"/>
    </row>
    <row r="474" spans="1:17" s="36" customFormat="1" ht="32.25" hidden="1" customHeight="1">
      <c r="A474" s="100">
        <v>466</v>
      </c>
      <c r="B474" s="239"/>
      <c r="C474" s="257"/>
      <c r="D474" s="52"/>
      <c r="E474" s="49"/>
      <c r="F474" s="51"/>
      <c r="G474" s="112">
        <f t="shared" si="8"/>
        <v>0</v>
      </c>
      <c r="H474" s="50"/>
      <c r="I474" s="49"/>
      <c r="J474" s="48"/>
      <c r="K474" s="47"/>
      <c r="L474" s="112">
        <f t="shared" si="9"/>
        <v>0</v>
      </c>
      <c r="M474" s="134"/>
      <c r="N474" s="46"/>
      <c r="O474" s="131"/>
      <c r="P474" s="45"/>
      <c r="Q474" s="80"/>
    </row>
    <row r="475" spans="1:17" s="36" customFormat="1" ht="32.25" hidden="1" customHeight="1">
      <c r="A475" s="100">
        <v>467</v>
      </c>
      <c r="B475" s="239"/>
      <c r="C475" s="257"/>
      <c r="D475" s="52"/>
      <c r="E475" s="49"/>
      <c r="F475" s="51"/>
      <c r="G475" s="112">
        <f t="shared" si="8"/>
        <v>0</v>
      </c>
      <c r="H475" s="50"/>
      <c r="I475" s="49"/>
      <c r="J475" s="48"/>
      <c r="K475" s="47"/>
      <c r="L475" s="112">
        <f t="shared" si="9"/>
        <v>0</v>
      </c>
      <c r="M475" s="134"/>
      <c r="N475" s="46"/>
      <c r="O475" s="131"/>
      <c r="P475" s="45"/>
      <c r="Q475" s="80"/>
    </row>
    <row r="476" spans="1:17" s="36" customFormat="1" ht="32.25" hidden="1" customHeight="1">
      <c r="A476" s="100">
        <v>468</v>
      </c>
      <c r="B476" s="239"/>
      <c r="C476" s="257"/>
      <c r="D476" s="52"/>
      <c r="E476" s="49"/>
      <c r="F476" s="51"/>
      <c r="G476" s="112">
        <f t="shared" si="8"/>
        <v>0</v>
      </c>
      <c r="H476" s="50"/>
      <c r="I476" s="49"/>
      <c r="J476" s="48"/>
      <c r="K476" s="47"/>
      <c r="L476" s="112">
        <f t="shared" si="9"/>
        <v>0</v>
      </c>
      <c r="M476" s="134"/>
      <c r="N476" s="46"/>
      <c r="O476" s="131"/>
      <c r="P476" s="45"/>
      <c r="Q476" s="80"/>
    </row>
    <row r="477" spans="1:17" s="36" customFormat="1" ht="32.25" hidden="1" customHeight="1">
      <c r="A477" s="100">
        <v>469</v>
      </c>
      <c r="B477" s="239"/>
      <c r="C477" s="257"/>
      <c r="D477" s="52"/>
      <c r="E477" s="49"/>
      <c r="F477" s="51"/>
      <c r="G477" s="112">
        <f t="shared" si="8"/>
        <v>0</v>
      </c>
      <c r="H477" s="50"/>
      <c r="I477" s="49"/>
      <c r="J477" s="48"/>
      <c r="K477" s="47"/>
      <c r="L477" s="112">
        <f t="shared" si="9"/>
        <v>0</v>
      </c>
      <c r="M477" s="134"/>
      <c r="N477" s="46"/>
      <c r="O477" s="131"/>
      <c r="P477" s="45"/>
      <c r="Q477" s="80"/>
    </row>
    <row r="478" spans="1:17" s="36" customFormat="1" ht="32.25" hidden="1" customHeight="1">
      <c r="A478" s="100">
        <v>470</v>
      </c>
      <c r="B478" s="239"/>
      <c r="C478" s="257"/>
      <c r="D478" s="52"/>
      <c r="E478" s="49"/>
      <c r="F478" s="51"/>
      <c r="G478" s="112">
        <f t="shared" si="8"/>
        <v>0</v>
      </c>
      <c r="H478" s="50"/>
      <c r="I478" s="49"/>
      <c r="J478" s="48"/>
      <c r="K478" s="47"/>
      <c r="L478" s="112">
        <f t="shared" si="9"/>
        <v>0</v>
      </c>
      <c r="M478" s="134"/>
      <c r="N478" s="46"/>
      <c r="O478" s="131"/>
      <c r="P478" s="45"/>
      <c r="Q478" s="80"/>
    </row>
    <row r="479" spans="1:17" s="36" customFormat="1" ht="32.25" hidden="1" customHeight="1">
      <c r="A479" s="100">
        <v>471</v>
      </c>
      <c r="B479" s="239"/>
      <c r="C479" s="257"/>
      <c r="D479" s="52"/>
      <c r="E479" s="49"/>
      <c r="F479" s="51"/>
      <c r="G479" s="112">
        <f t="shared" si="8"/>
        <v>0</v>
      </c>
      <c r="H479" s="50"/>
      <c r="I479" s="49"/>
      <c r="J479" s="48"/>
      <c r="K479" s="47"/>
      <c r="L479" s="112">
        <f t="shared" si="9"/>
        <v>0</v>
      </c>
      <c r="M479" s="134"/>
      <c r="N479" s="46"/>
      <c r="O479" s="131"/>
      <c r="P479" s="45"/>
      <c r="Q479" s="80"/>
    </row>
    <row r="480" spans="1:17" s="36" customFormat="1" ht="32.25" hidden="1" customHeight="1">
      <c r="A480" s="100">
        <v>472</v>
      </c>
      <c r="B480" s="239"/>
      <c r="C480" s="257"/>
      <c r="D480" s="52"/>
      <c r="E480" s="49"/>
      <c r="F480" s="51"/>
      <c r="G480" s="112">
        <f t="shared" si="8"/>
        <v>0</v>
      </c>
      <c r="H480" s="50"/>
      <c r="I480" s="49"/>
      <c r="J480" s="48"/>
      <c r="K480" s="47"/>
      <c r="L480" s="112">
        <f t="shared" si="9"/>
        <v>0</v>
      </c>
      <c r="M480" s="134"/>
      <c r="N480" s="46"/>
      <c r="O480" s="131"/>
      <c r="P480" s="45"/>
      <c r="Q480" s="80"/>
    </row>
    <row r="481" spans="1:17" s="36" customFormat="1" ht="32.25" hidden="1" customHeight="1">
      <c r="A481" s="100">
        <v>473</v>
      </c>
      <c r="B481" s="239"/>
      <c r="C481" s="257"/>
      <c r="D481" s="52"/>
      <c r="E481" s="49"/>
      <c r="F481" s="51"/>
      <c r="G481" s="112">
        <f t="shared" si="8"/>
        <v>0</v>
      </c>
      <c r="H481" s="50"/>
      <c r="I481" s="49"/>
      <c r="J481" s="48"/>
      <c r="K481" s="47"/>
      <c r="L481" s="112">
        <f t="shared" si="9"/>
        <v>0</v>
      </c>
      <c r="M481" s="134"/>
      <c r="N481" s="46"/>
      <c r="O481" s="131"/>
      <c r="P481" s="45"/>
      <c r="Q481" s="80"/>
    </row>
    <row r="482" spans="1:17" s="36" customFormat="1" ht="32.25" hidden="1" customHeight="1">
      <c r="A482" s="100">
        <v>474</v>
      </c>
      <c r="B482" s="239"/>
      <c r="C482" s="257"/>
      <c r="D482" s="52"/>
      <c r="E482" s="49"/>
      <c r="F482" s="51"/>
      <c r="G482" s="112">
        <f t="shared" si="8"/>
        <v>0</v>
      </c>
      <c r="H482" s="50"/>
      <c r="I482" s="49"/>
      <c r="J482" s="48"/>
      <c r="K482" s="47"/>
      <c r="L482" s="112">
        <f t="shared" si="9"/>
        <v>0</v>
      </c>
      <c r="M482" s="134"/>
      <c r="N482" s="46"/>
      <c r="O482" s="131"/>
      <c r="P482" s="45"/>
      <c r="Q482" s="80"/>
    </row>
    <row r="483" spans="1:17" s="36" customFormat="1" ht="32.25" hidden="1" customHeight="1">
      <c r="A483" s="100">
        <v>475</v>
      </c>
      <c r="B483" s="239"/>
      <c r="C483" s="257"/>
      <c r="D483" s="52"/>
      <c r="E483" s="49"/>
      <c r="F483" s="51"/>
      <c r="G483" s="112">
        <f t="shared" si="8"/>
        <v>0</v>
      </c>
      <c r="H483" s="50"/>
      <c r="I483" s="49"/>
      <c r="J483" s="48"/>
      <c r="K483" s="47"/>
      <c r="L483" s="112">
        <f t="shared" si="9"/>
        <v>0</v>
      </c>
      <c r="M483" s="134"/>
      <c r="N483" s="46"/>
      <c r="O483" s="131"/>
      <c r="P483" s="45"/>
      <c r="Q483" s="80"/>
    </row>
    <row r="484" spans="1:17" s="36" customFormat="1" ht="32.25" hidden="1" customHeight="1">
      <c r="A484" s="100">
        <v>476</v>
      </c>
      <c r="B484" s="239"/>
      <c r="C484" s="257"/>
      <c r="D484" s="52"/>
      <c r="E484" s="49"/>
      <c r="F484" s="51"/>
      <c r="G484" s="112">
        <f t="shared" si="8"/>
        <v>0</v>
      </c>
      <c r="H484" s="50"/>
      <c r="I484" s="49"/>
      <c r="J484" s="48"/>
      <c r="K484" s="47"/>
      <c r="L484" s="112">
        <f t="shared" si="9"/>
        <v>0</v>
      </c>
      <c r="M484" s="134"/>
      <c r="N484" s="46"/>
      <c r="O484" s="131"/>
      <c r="P484" s="45"/>
      <c r="Q484" s="80"/>
    </row>
    <row r="485" spans="1:17" s="36" customFormat="1" ht="32.25" hidden="1" customHeight="1">
      <c r="A485" s="100">
        <v>477</v>
      </c>
      <c r="B485" s="239"/>
      <c r="C485" s="257"/>
      <c r="D485" s="52"/>
      <c r="E485" s="49"/>
      <c r="F485" s="51"/>
      <c r="G485" s="112">
        <f t="shared" si="8"/>
        <v>0</v>
      </c>
      <c r="H485" s="50"/>
      <c r="I485" s="49"/>
      <c r="J485" s="48"/>
      <c r="K485" s="47"/>
      <c r="L485" s="112">
        <f t="shared" si="9"/>
        <v>0</v>
      </c>
      <c r="M485" s="134"/>
      <c r="N485" s="46"/>
      <c r="O485" s="131"/>
      <c r="P485" s="45"/>
      <c r="Q485" s="80"/>
    </row>
    <row r="486" spans="1:17" s="36" customFormat="1" ht="32.25" hidden="1" customHeight="1">
      <c r="A486" s="100">
        <v>478</v>
      </c>
      <c r="B486" s="239"/>
      <c r="C486" s="257"/>
      <c r="D486" s="52"/>
      <c r="E486" s="49"/>
      <c r="F486" s="51"/>
      <c r="G486" s="112">
        <f t="shared" si="8"/>
        <v>0</v>
      </c>
      <c r="H486" s="50"/>
      <c r="I486" s="49"/>
      <c r="J486" s="48"/>
      <c r="K486" s="47"/>
      <c r="L486" s="112">
        <f t="shared" si="9"/>
        <v>0</v>
      </c>
      <c r="M486" s="134"/>
      <c r="N486" s="46"/>
      <c r="O486" s="131"/>
      <c r="P486" s="45"/>
      <c r="Q486" s="80"/>
    </row>
    <row r="487" spans="1:17" s="36" customFormat="1" ht="32.25" hidden="1" customHeight="1">
      <c r="A487" s="100">
        <v>479</v>
      </c>
      <c r="B487" s="239"/>
      <c r="C487" s="257"/>
      <c r="D487" s="52"/>
      <c r="E487" s="49"/>
      <c r="F487" s="51"/>
      <c r="G487" s="112">
        <f t="shared" si="8"/>
        <v>0</v>
      </c>
      <c r="H487" s="50"/>
      <c r="I487" s="49"/>
      <c r="J487" s="48"/>
      <c r="K487" s="47"/>
      <c r="L487" s="112">
        <f t="shared" si="9"/>
        <v>0</v>
      </c>
      <c r="M487" s="134"/>
      <c r="N487" s="46"/>
      <c r="O487" s="131"/>
      <c r="P487" s="45"/>
      <c r="Q487" s="80"/>
    </row>
    <row r="488" spans="1:17" s="36" customFormat="1" ht="32.25" hidden="1" customHeight="1">
      <c r="A488" s="100">
        <v>480</v>
      </c>
      <c r="B488" s="239"/>
      <c r="C488" s="257"/>
      <c r="D488" s="52"/>
      <c r="E488" s="49"/>
      <c r="F488" s="51"/>
      <c r="G488" s="112">
        <f t="shared" si="8"/>
        <v>0</v>
      </c>
      <c r="H488" s="50"/>
      <c r="I488" s="49"/>
      <c r="J488" s="48"/>
      <c r="K488" s="47"/>
      <c r="L488" s="112">
        <f t="shared" si="9"/>
        <v>0</v>
      </c>
      <c r="M488" s="134"/>
      <c r="N488" s="46"/>
      <c r="O488" s="131"/>
      <c r="P488" s="45"/>
      <c r="Q488" s="80"/>
    </row>
    <row r="489" spans="1:17" s="36" customFormat="1" ht="32.25" hidden="1" customHeight="1">
      <c r="A489" s="100">
        <v>481</v>
      </c>
      <c r="B489" s="239"/>
      <c r="C489" s="257"/>
      <c r="D489" s="52"/>
      <c r="E489" s="49"/>
      <c r="F489" s="51"/>
      <c r="G489" s="112">
        <f t="shared" si="8"/>
        <v>0</v>
      </c>
      <c r="H489" s="50"/>
      <c r="I489" s="49"/>
      <c r="J489" s="48"/>
      <c r="K489" s="47"/>
      <c r="L489" s="112">
        <f t="shared" si="9"/>
        <v>0</v>
      </c>
      <c r="M489" s="134"/>
      <c r="N489" s="46"/>
      <c r="O489" s="131"/>
      <c r="P489" s="45"/>
      <c r="Q489" s="80"/>
    </row>
    <row r="490" spans="1:17" s="36" customFormat="1" ht="32.25" hidden="1" customHeight="1">
      <c r="A490" s="100">
        <v>482</v>
      </c>
      <c r="B490" s="239"/>
      <c r="C490" s="257"/>
      <c r="D490" s="52"/>
      <c r="E490" s="49"/>
      <c r="F490" s="51"/>
      <c r="G490" s="112">
        <f t="shared" si="8"/>
        <v>0</v>
      </c>
      <c r="H490" s="50"/>
      <c r="I490" s="49"/>
      <c r="J490" s="48"/>
      <c r="K490" s="47"/>
      <c r="L490" s="112">
        <f t="shared" si="9"/>
        <v>0</v>
      </c>
      <c r="M490" s="134"/>
      <c r="N490" s="46"/>
      <c r="O490" s="131"/>
      <c r="P490" s="45"/>
      <c r="Q490" s="80"/>
    </row>
    <row r="491" spans="1:17" s="36" customFormat="1" ht="32.25" hidden="1" customHeight="1">
      <c r="A491" s="100">
        <v>483</v>
      </c>
      <c r="B491" s="239"/>
      <c r="C491" s="257"/>
      <c r="D491" s="52"/>
      <c r="E491" s="49"/>
      <c r="F491" s="51"/>
      <c r="G491" s="112">
        <f t="shared" si="8"/>
        <v>0</v>
      </c>
      <c r="H491" s="50"/>
      <c r="I491" s="49"/>
      <c r="J491" s="48"/>
      <c r="K491" s="47"/>
      <c r="L491" s="112">
        <f t="shared" si="9"/>
        <v>0</v>
      </c>
      <c r="M491" s="134"/>
      <c r="N491" s="46"/>
      <c r="O491" s="131"/>
      <c r="P491" s="45"/>
      <c r="Q491" s="80"/>
    </row>
    <row r="492" spans="1:17" s="36" customFormat="1" ht="32.25" hidden="1" customHeight="1">
      <c r="A492" s="100">
        <v>484</v>
      </c>
      <c r="B492" s="239"/>
      <c r="C492" s="257"/>
      <c r="D492" s="52"/>
      <c r="E492" s="49"/>
      <c r="F492" s="51"/>
      <c r="G492" s="112">
        <f t="shared" si="8"/>
        <v>0</v>
      </c>
      <c r="H492" s="50"/>
      <c r="I492" s="49"/>
      <c r="J492" s="48"/>
      <c r="K492" s="47"/>
      <c r="L492" s="112">
        <f t="shared" si="9"/>
        <v>0</v>
      </c>
      <c r="M492" s="134"/>
      <c r="N492" s="46"/>
      <c r="O492" s="131"/>
      <c r="P492" s="45"/>
      <c r="Q492" s="80"/>
    </row>
    <row r="493" spans="1:17" s="36" customFormat="1" ht="32.25" hidden="1" customHeight="1">
      <c r="A493" s="100">
        <v>485</v>
      </c>
      <c r="B493" s="239"/>
      <c r="C493" s="257"/>
      <c r="D493" s="52"/>
      <c r="E493" s="49"/>
      <c r="F493" s="51"/>
      <c r="G493" s="112">
        <f t="shared" si="8"/>
        <v>0</v>
      </c>
      <c r="H493" s="50"/>
      <c r="I493" s="49"/>
      <c r="J493" s="48"/>
      <c r="K493" s="47"/>
      <c r="L493" s="112">
        <f t="shared" si="9"/>
        <v>0</v>
      </c>
      <c r="M493" s="134"/>
      <c r="N493" s="46"/>
      <c r="O493" s="131"/>
      <c r="P493" s="45"/>
      <c r="Q493" s="80"/>
    </row>
    <row r="494" spans="1:17" s="36" customFormat="1" ht="32.25" hidden="1" customHeight="1">
      <c r="A494" s="100">
        <v>486</v>
      </c>
      <c r="B494" s="239"/>
      <c r="C494" s="257"/>
      <c r="D494" s="52"/>
      <c r="E494" s="49"/>
      <c r="F494" s="51"/>
      <c r="G494" s="112">
        <f t="shared" si="8"/>
        <v>0</v>
      </c>
      <c r="H494" s="50"/>
      <c r="I494" s="49"/>
      <c r="J494" s="48"/>
      <c r="K494" s="47"/>
      <c r="L494" s="112">
        <f t="shared" si="9"/>
        <v>0</v>
      </c>
      <c r="M494" s="134"/>
      <c r="N494" s="46"/>
      <c r="O494" s="131"/>
      <c r="P494" s="45"/>
      <c r="Q494" s="80"/>
    </row>
    <row r="495" spans="1:17" s="36" customFormat="1" ht="32.25" hidden="1" customHeight="1">
      <c r="A495" s="100">
        <v>487</v>
      </c>
      <c r="B495" s="239"/>
      <c r="C495" s="257"/>
      <c r="D495" s="52"/>
      <c r="E495" s="49"/>
      <c r="F495" s="51"/>
      <c r="G495" s="112">
        <f t="shared" si="8"/>
        <v>0</v>
      </c>
      <c r="H495" s="50"/>
      <c r="I495" s="49"/>
      <c r="J495" s="48"/>
      <c r="K495" s="47"/>
      <c r="L495" s="112">
        <f t="shared" si="9"/>
        <v>0</v>
      </c>
      <c r="M495" s="134"/>
      <c r="N495" s="46"/>
      <c r="O495" s="131"/>
      <c r="P495" s="45"/>
      <c r="Q495" s="80"/>
    </row>
    <row r="496" spans="1:17" s="36" customFormat="1" ht="32.25" hidden="1" customHeight="1">
      <c r="A496" s="100">
        <v>488</v>
      </c>
      <c r="B496" s="239"/>
      <c r="C496" s="257"/>
      <c r="D496" s="52"/>
      <c r="E496" s="49"/>
      <c r="F496" s="51"/>
      <c r="G496" s="112">
        <f t="shared" si="8"/>
        <v>0</v>
      </c>
      <c r="H496" s="50"/>
      <c r="I496" s="49"/>
      <c r="J496" s="48"/>
      <c r="K496" s="47"/>
      <c r="L496" s="112">
        <f t="shared" si="9"/>
        <v>0</v>
      </c>
      <c r="M496" s="134"/>
      <c r="N496" s="46"/>
      <c r="O496" s="131"/>
      <c r="P496" s="45"/>
      <c r="Q496" s="80"/>
    </row>
    <row r="497" spans="1:37" s="36" customFormat="1" ht="32.25" hidden="1" customHeight="1">
      <c r="A497" s="100">
        <v>489</v>
      </c>
      <c r="B497" s="239"/>
      <c r="C497" s="257"/>
      <c r="D497" s="52"/>
      <c r="E497" s="49"/>
      <c r="F497" s="51"/>
      <c r="G497" s="112">
        <f t="shared" si="8"/>
        <v>0</v>
      </c>
      <c r="H497" s="50"/>
      <c r="I497" s="49"/>
      <c r="J497" s="48"/>
      <c r="K497" s="47"/>
      <c r="L497" s="112">
        <f t="shared" si="9"/>
        <v>0</v>
      </c>
      <c r="M497" s="134"/>
      <c r="N497" s="46"/>
      <c r="O497" s="131"/>
      <c r="P497" s="45"/>
      <c r="Q497" s="80"/>
    </row>
    <row r="498" spans="1:37" s="36" customFormat="1" ht="32.25" hidden="1" customHeight="1">
      <c r="A498" s="100">
        <v>490</v>
      </c>
      <c r="B498" s="239"/>
      <c r="C498" s="257"/>
      <c r="D498" s="52"/>
      <c r="E498" s="49"/>
      <c r="F498" s="51"/>
      <c r="G498" s="112">
        <f t="shared" si="8"/>
        <v>0</v>
      </c>
      <c r="H498" s="50"/>
      <c r="I498" s="49"/>
      <c r="J498" s="48"/>
      <c r="K498" s="47"/>
      <c r="L498" s="112">
        <f t="shared" si="9"/>
        <v>0</v>
      </c>
      <c r="M498" s="134"/>
      <c r="N498" s="46"/>
      <c r="O498" s="131"/>
      <c r="P498" s="45"/>
      <c r="Q498" s="80"/>
    </row>
    <row r="499" spans="1:37" s="36" customFormat="1" ht="32.25" hidden="1" customHeight="1">
      <c r="A499" s="100">
        <v>491</v>
      </c>
      <c r="B499" s="239"/>
      <c r="C499" s="257"/>
      <c r="D499" s="52"/>
      <c r="E499" s="49"/>
      <c r="F499" s="51"/>
      <c r="G499" s="112">
        <f t="shared" si="8"/>
        <v>0</v>
      </c>
      <c r="H499" s="50"/>
      <c r="I499" s="49"/>
      <c r="J499" s="48"/>
      <c r="K499" s="47"/>
      <c r="L499" s="112">
        <f t="shared" si="9"/>
        <v>0</v>
      </c>
      <c r="M499" s="134"/>
      <c r="N499" s="46"/>
      <c r="O499" s="131"/>
      <c r="P499" s="45"/>
      <c r="Q499" s="80"/>
    </row>
    <row r="500" spans="1:37" s="36" customFormat="1" ht="32.25" hidden="1" customHeight="1">
      <c r="A500" s="100">
        <v>492</v>
      </c>
      <c r="B500" s="239"/>
      <c r="C500" s="257"/>
      <c r="D500" s="52"/>
      <c r="E500" s="49"/>
      <c r="F500" s="51"/>
      <c r="G500" s="112">
        <f t="shared" si="8"/>
        <v>0</v>
      </c>
      <c r="H500" s="50"/>
      <c r="I500" s="49"/>
      <c r="J500" s="48"/>
      <c r="K500" s="47"/>
      <c r="L500" s="112">
        <f t="shared" si="9"/>
        <v>0</v>
      </c>
      <c r="M500" s="134"/>
      <c r="N500" s="46"/>
      <c r="O500" s="131"/>
      <c r="P500" s="45"/>
      <c r="Q500" s="80"/>
    </row>
    <row r="501" spans="1:37" s="36" customFormat="1" ht="32.25" hidden="1" customHeight="1">
      <c r="A501" s="100">
        <v>493</v>
      </c>
      <c r="B501" s="239"/>
      <c r="C501" s="257"/>
      <c r="D501" s="52"/>
      <c r="E501" s="49"/>
      <c r="F501" s="51"/>
      <c r="G501" s="112">
        <f t="shared" si="8"/>
        <v>0</v>
      </c>
      <c r="H501" s="50"/>
      <c r="I501" s="49"/>
      <c r="J501" s="48"/>
      <c r="K501" s="47"/>
      <c r="L501" s="112">
        <f t="shared" si="9"/>
        <v>0</v>
      </c>
      <c r="M501" s="134"/>
      <c r="N501" s="46"/>
      <c r="O501" s="131"/>
      <c r="P501" s="45"/>
      <c r="Q501" s="80"/>
    </row>
    <row r="502" spans="1:37" s="36" customFormat="1" ht="32.25" hidden="1" customHeight="1">
      <c r="A502" s="100">
        <v>494</v>
      </c>
      <c r="B502" s="239"/>
      <c r="C502" s="257"/>
      <c r="D502" s="52"/>
      <c r="E502" s="49"/>
      <c r="F502" s="51"/>
      <c r="G502" s="112">
        <f t="shared" si="8"/>
        <v>0</v>
      </c>
      <c r="H502" s="50"/>
      <c r="I502" s="49"/>
      <c r="J502" s="48"/>
      <c r="K502" s="47"/>
      <c r="L502" s="112">
        <f t="shared" si="9"/>
        <v>0</v>
      </c>
      <c r="M502" s="134"/>
      <c r="N502" s="46"/>
      <c r="O502" s="131"/>
      <c r="P502" s="45"/>
      <c r="Q502" s="80"/>
    </row>
    <row r="503" spans="1:37" s="36" customFormat="1" ht="32.25" hidden="1" customHeight="1">
      <c r="A503" s="100">
        <v>495</v>
      </c>
      <c r="B503" s="239"/>
      <c r="C503" s="257"/>
      <c r="D503" s="52"/>
      <c r="E503" s="49"/>
      <c r="F503" s="51"/>
      <c r="G503" s="112">
        <f t="shared" si="8"/>
        <v>0</v>
      </c>
      <c r="H503" s="50"/>
      <c r="I503" s="49"/>
      <c r="J503" s="48"/>
      <c r="K503" s="47"/>
      <c r="L503" s="112">
        <f t="shared" si="9"/>
        <v>0</v>
      </c>
      <c r="M503" s="134"/>
      <c r="N503" s="46"/>
      <c r="O503" s="131"/>
      <c r="P503" s="45"/>
      <c r="Q503" s="80"/>
    </row>
    <row r="504" spans="1:37" s="36" customFormat="1" ht="32.25" hidden="1" customHeight="1">
      <c r="A504" s="100">
        <v>496</v>
      </c>
      <c r="B504" s="239"/>
      <c r="C504" s="257"/>
      <c r="D504" s="52"/>
      <c r="E504" s="49"/>
      <c r="F504" s="51"/>
      <c r="G504" s="112">
        <f t="shared" si="8"/>
        <v>0</v>
      </c>
      <c r="H504" s="50"/>
      <c r="I504" s="49"/>
      <c r="J504" s="48"/>
      <c r="K504" s="47"/>
      <c r="L504" s="112">
        <f t="shared" si="9"/>
        <v>0</v>
      </c>
      <c r="M504" s="134"/>
      <c r="N504" s="46"/>
      <c r="O504" s="131"/>
      <c r="P504" s="45"/>
      <c r="Q504" s="80"/>
    </row>
    <row r="505" spans="1:37" s="36" customFormat="1" ht="32.25" hidden="1" customHeight="1">
      <c r="A505" s="100">
        <v>497</v>
      </c>
      <c r="B505" s="239"/>
      <c r="C505" s="257"/>
      <c r="D505" s="52"/>
      <c r="E505" s="49"/>
      <c r="F505" s="51"/>
      <c r="G505" s="112">
        <f t="shared" si="8"/>
        <v>0</v>
      </c>
      <c r="H505" s="50"/>
      <c r="I505" s="49"/>
      <c r="J505" s="48"/>
      <c r="K505" s="47"/>
      <c r="L505" s="112">
        <f t="shared" si="9"/>
        <v>0</v>
      </c>
      <c r="M505" s="134"/>
      <c r="N505" s="46"/>
      <c r="O505" s="131"/>
      <c r="P505" s="45"/>
      <c r="Q505" s="80"/>
    </row>
    <row r="506" spans="1:37" s="36" customFormat="1" ht="32.25" hidden="1" customHeight="1">
      <c r="A506" s="100">
        <v>498</v>
      </c>
      <c r="B506" s="239"/>
      <c r="C506" s="257"/>
      <c r="D506" s="52"/>
      <c r="E506" s="49"/>
      <c r="F506" s="51"/>
      <c r="G506" s="112">
        <f t="shared" si="8"/>
        <v>0</v>
      </c>
      <c r="H506" s="50"/>
      <c r="I506" s="49"/>
      <c r="J506" s="48"/>
      <c r="K506" s="47"/>
      <c r="L506" s="112">
        <f t="shared" si="9"/>
        <v>0</v>
      </c>
      <c r="M506" s="134"/>
      <c r="N506" s="46"/>
      <c r="O506" s="131"/>
      <c r="P506" s="45"/>
      <c r="Q506" s="80"/>
    </row>
    <row r="507" spans="1:37" s="36" customFormat="1" ht="32.25" hidden="1" customHeight="1">
      <c r="A507" s="100">
        <v>499</v>
      </c>
      <c r="B507" s="239"/>
      <c r="C507" s="257"/>
      <c r="D507" s="52"/>
      <c r="E507" s="49"/>
      <c r="F507" s="51"/>
      <c r="G507" s="112">
        <f t="shared" si="8"/>
        <v>0</v>
      </c>
      <c r="H507" s="50"/>
      <c r="I507" s="49"/>
      <c r="J507" s="48"/>
      <c r="K507" s="47"/>
      <c r="L507" s="112">
        <f t="shared" si="9"/>
        <v>0</v>
      </c>
      <c r="M507" s="134"/>
      <c r="N507" s="46"/>
      <c r="O507" s="131"/>
      <c r="P507" s="45"/>
      <c r="Q507" s="80"/>
    </row>
    <row r="508" spans="1:37" s="36" customFormat="1" ht="32.25" hidden="1" customHeight="1">
      <c r="A508" s="100">
        <v>500</v>
      </c>
      <c r="B508" s="241"/>
      <c r="C508" s="259"/>
      <c r="D508" s="44"/>
      <c r="E508" s="41"/>
      <c r="F508" s="43"/>
      <c r="G508" s="112">
        <f t="shared" si="8"/>
        <v>0</v>
      </c>
      <c r="H508" s="42"/>
      <c r="I508" s="41"/>
      <c r="J508" s="40"/>
      <c r="K508" s="39"/>
      <c r="L508" s="112">
        <f t="shared" si="9"/>
        <v>0</v>
      </c>
      <c r="M508" s="135"/>
      <c r="N508" s="38"/>
      <c r="O508" s="136"/>
      <c r="P508" s="37"/>
      <c r="Q508" s="80"/>
    </row>
    <row r="509" spans="1:37" s="32" customFormat="1" ht="33.75" customHeight="1">
      <c r="A509" s="101"/>
      <c r="B509" s="242"/>
      <c r="C509" s="242"/>
      <c r="D509" s="183" t="s">
        <v>119</v>
      </c>
      <c r="E509" s="236">
        <f>SUM(E9:E508)</f>
        <v>30000</v>
      </c>
      <c r="F509" s="236">
        <f t="shared" ref="F509:L509" si="10">SUM(F9:F508)</f>
        <v>0</v>
      </c>
      <c r="G509" s="236">
        <f t="shared" si="10"/>
        <v>30000</v>
      </c>
      <c r="H509" s="236">
        <f t="shared" si="10"/>
        <v>6000</v>
      </c>
      <c r="I509" s="236">
        <f t="shared" si="10"/>
        <v>0</v>
      </c>
      <c r="J509" s="236">
        <f t="shared" si="10"/>
        <v>0</v>
      </c>
      <c r="K509" s="236">
        <f t="shared" si="10"/>
        <v>0</v>
      </c>
      <c r="L509" s="236">
        <f t="shared" si="10"/>
        <v>24000</v>
      </c>
      <c r="M509" s="118">
        <f>SUM(M9:M508)</f>
        <v>8000</v>
      </c>
      <c r="N509" s="118">
        <f>SUM(N9:N508)</f>
        <v>8000</v>
      </c>
      <c r="O509" s="235" t="s">
        <v>120</v>
      </c>
      <c r="P509" s="102"/>
      <c r="R509" s="35"/>
      <c r="Y509" s="34"/>
      <c r="AD509" s="33"/>
    </row>
    <row r="510" spans="1:37" ht="96.75" customHeight="1">
      <c r="D510" s="379" t="s">
        <v>121</v>
      </c>
      <c r="E510" s="379"/>
      <c r="F510" s="379"/>
      <c r="G510" s="379"/>
      <c r="H510" s="379"/>
      <c r="I510" s="379"/>
      <c r="J510" s="379"/>
      <c r="K510" s="379"/>
      <c r="L510" s="379"/>
      <c r="M510" s="379"/>
      <c r="N510" s="379"/>
      <c r="O510" s="379"/>
      <c r="P510" s="103"/>
      <c r="Q510" s="81"/>
      <c r="R510" s="31"/>
    </row>
    <row r="511" spans="1:37" ht="23.25" customHeight="1">
      <c r="D511" s="184" t="s">
        <v>122</v>
      </c>
      <c r="E511" s="421"/>
      <c r="F511" s="421"/>
      <c r="G511" s="421"/>
      <c r="H511" s="421"/>
      <c r="I511" s="421"/>
      <c r="J511" s="185" t="s">
        <v>123</v>
      </c>
      <c r="K511" s="422"/>
      <c r="L511" s="422"/>
      <c r="M511" s="422"/>
      <c r="N511" s="422"/>
      <c r="O511" s="423"/>
      <c r="P511" s="104"/>
      <c r="Q511" s="82"/>
      <c r="R511" s="30"/>
      <c r="S511" s="26"/>
      <c r="T511" s="25"/>
      <c r="U511" s="25"/>
      <c r="V511" s="25"/>
      <c r="W511" s="25"/>
      <c r="X511" s="25"/>
      <c r="Y511" s="25"/>
      <c r="AG511" s="29"/>
      <c r="AH511" s="29"/>
      <c r="AI511" s="25"/>
      <c r="AJ511" s="25"/>
      <c r="AK511" s="28"/>
    </row>
    <row r="512" spans="1:37" ht="114" customHeight="1">
      <c r="D512" s="406" t="s">
        <v>124</v>
      </c>
      <c r="E512" s="406"/>
      <c r="F512" s="406"/>
      <c r="G512" s="406"/>
      <c r="H512" s="406"/>
      <c r="I512" s="406"/>
      <c r="J512" s="407" t="s">
        <v>125</v>
      </c>
      <c r="K512" s="407"/>
      <c r="L512" s="407"/>
      <c r="M512" s="407"/>
      <c r="N512" s="407"/>
      <c r="O512" s="407"/>
      <c r="P512" s="105"/>
      <c r="Q512" s="83"/>
      <c r="R512" s="27"/>
      <c r="S512" s="26"/>
      <c r="T512" s="25"/>
      <c r="U512" s="25"/>
      <c r="V512" s="25"/>
      <c r="W512" s="25"/>
      <c r="X512" s="25"/>
      <c r="Y512" s="25"/>
      <c r="AG512" s="24"/>
      <c r="AH512" s="24"/>
      <c r="AI512" s="25"/>
      <c r="AJ512" s="25"/>
      <c r="AK512" s="24"/>
    </row>
    <row r="513" spans="1:37" s="17" customFormat="1" ht="250.15" customHeight="1">
      <c r="A513" s="106"/>
      <c r="B513" s="243"/>
      <c r="C513" s="243"/>
      <c r="D513" s="408" t="s">
        <v>126</v>
      </c>
      <c r="E513" s="408"/>
      <c r="F513" s="408"/>
      <c r="G513" s="408"/>
      <c r="H513" s="408"/>
      <c r="I513" s="408"/>
      <c r="J513" s="408"/>
      <c r="K513" s="408"/>
      <c r="L513" s="408"/>
      <c r="M513" s="408"/>
      <c r="N513" s="408"/>
      <c r="O513" s="408"/>
      <c r="P513" s="107"/>
      <c r="Q513" s="84"/>
      <c r="R513" s="23"/>
      <c r="S513" s="21"/>
      <c r="T513" s="21"/>
      <c r="U513" s="21"/>
      <c r="V513" s="21"/>
      <c r="W513" s="21"/>
      <c r="X513" s="21"/>
      <c r="Y513" s="22"/>
      <c r="AD513" s="18"/>
      <c r="AG513" s="21"/>
      <c r="AH513" s="21"/>
      <c r="AI513" s="21"/>
      <c r="AJ513" s="21"/>
      <c r="AK513" s="21"/>
    </row>
    <row r="514" spans="1:37" s="17" customFormat="1" ht="34.5" customHeight="1">
      <c r="A514" s="106"/>
      <c r="B514" s="243"/>
      <c r="C514" s="243"/>
      <c r="D514" s="408" t="s">
        <v>81</v>
      </c>
      <c r="E514" s="408"/>
      <c r="F514" s="408"/>
      <c r="G514" s="408"/>
      <c r="H514" s="408"/>
      <c r="I514" s="408"/>
      <c r="J514" s="408"/>
      <c r="K514" s="408"/>
      <c r="L514" s="408"/>
      <c r="M514" s="408"/>
      <c r="N514" s="408"/>
      <c r="O514" s="408"/>
      <c r="P514" s="107"/>
      <c r="R514" s="20"/>
      <c r="Y514" s="19"/>
      <c r="AD514" s="18"/>
    </row>
    <row r="529" spans="5:15">
      <c r="E529" s="108"/>
      <c r="F529" s="108"/>
      <c r="G529" s="109"/>
      <c r="H529" s="108"/>
      <c r="I529" s="108"/>
      <c r="J529" s="108"/>
      <c r="K529" s="110"/>
      <c r="L529" s="108"/>
      <c r="M529" s="110"/>
      <c r="N529" s="110"/>
      <c r="O529" s="110"/>
    </row>
    <row r="548" spans="17:18">
      <c r="Q548" s="85"/>
      <c r="R548" s="7"/>
    </row>
    <row r="549" spans="17:18">
      <c r="Q549" s="85"/>
      <c r="R549" s="14"/>
    </row>
    <row r="550" spans="17:18">
      <c r="Q550" s="86"/>
      <c r="R550" s="16"/>
    </row>
    <row r="551" spans="17:18">
      <c r="Q551" s="86"/>
      <c r="R551" s="16"/>
    </row>
    <row r="552" spans="17:18">
      <c r="Q552" s="86"/>
      <c r="R552" s="16"/>
    </row>
    <row r="553" spans="17:18">
      <c r="Q553" s="86"/>
      <c r="R553" s="16"/>
    </row>
    <row r="554" spans="17:18">
      <c r="Q554" s="86"/>
      <c r="R554" s="16"/>
    </row>
    <row r="555" spans="17:18">
      <c r="Q555" s="87"/>
      <c r="R555" s="15"/>
    </row>
    <row r="556" spans="17:18">
      <c r="Q556" s="87"/>
      <c r="R556" s="15"/>
    </row>
    <row r="557" spans="17:18">
      <c r="R557" s="12"/>
    </row>
    <row r="558" spans="17:18">
      <c r="R558" s="12"/>
    </row>
    <row r="559" spans="17:18">
      <c r="R559" s="12"/>
    </row>
    <row r="560" spans="17:18">
      <c r="R560" s="12"/>
    </row>
    <row r="561" spans="17:18">
      <c r="R561" s="12"/>
    </row>
    <row r="562" spans="17:18">
      <c r="Q562" s="85"/>
      <c r="R562" s="14"/>
    </row>
    <row r="563" spans="17:18">
      <c r="Q563" s="85"/>
      <c r="R563" s="14"/>
    </row>
    <row r="564" spans="17:18">
      <c r="Q564" s="88"/>
      <c r="R564" s="6"/>
    </row>
    <row r="565" spans="17:18">
      <c r="Q565" s="89"/>
      <c r="R565" s="13"/>
    </row>
    <row r="566" spans="17:18">
      <c r="R566" s="12"/>
    </row>
    <row r="567" spans="17:18">
      <c r="R567" s="12"/>
    </row>
    <row r="568" spans="17:18">
      <c r="R568" s="12"/>
    </row>
    <row r="569" spans="17:18">
      <c r="Q569" s="85"/>
      <c r="R569" s="14"/>
    </row>
    <row r="570" spans="17:18">
      <c r="Q570" s="85"/>
      <c r="R570" s="14"/>
    </row>
    <row r="571" spans="17:18">
      <c r="Q571" s="88"/>
      <c r="R571" s="6"/>
    </row>
    <row r="572" spans="17:18">
      <c r="Q572" s="89"/>
      <c r="R572" s="13"/>
    </row>
    <row r="573" spans="17:18">
      <c r="R573" s="12"/>
    </row>
    <row r="574" spans="17:18">
      <c r="R574" s="12"/>
    </row>
    <row r="575" spans="17:18">
      <c r="R575" s="12"/>
    </row>
    <row r="576" spans="17:18">
      <c r="Q576" s="85"/>
      <c r="R576" s="14"/>
    </row>
    <row r="577" spans="17:18">
      <c r="Q577" s="85"/>
      <c r="R577" s="14"/>
    </row>
    <row r="578" spans="17:18">
      <c r="Q578" s="88"/>
      <c r="R578" s="6"/>
    </row>
    <row r="579" spans="17:18">
      <c r="Q579" s="89"/>
      <c r="R579" s="13"/>
    </row>
    <row r="580" spans="17:18">
      <c r="R580" s="12"/>
    </row>
    <row r="581" spans="17:18">
      <c r="R581" s="12"/>
    </row>
    <row r="582" spans="17:18">
      <c r="R582" s="12"/>
    </row>
    <row r="583" spans="17:18">
      <c r="R583" s="12"/>
    </row>
    <row r="584" spans="17:18">
      <c r="R584" s="12"/>
    </row>
    <row r="585" spans="17:18">
      <c r="R585" s="12"/>
    </row>
    <row r="586" spans="17:18">
      <c r="R586" s="12"/>
    </row>
    <row r="587" spans="17:18">
      <c r="Q587" s="90"/>
      <c r="R587" s="11"/>
    </row>
    <row r="588" spans="17:18">
      <c r="Q588" s="91"/>
      <c r="R588" s="10"/>
    </row>
    <row r="589" spans="17:18">
      <c r="Q589" s="91"/>
      <c r="R589" s="8"/>
    </row>
    <row r="590" spans="17:18">
      <c r="R590" s="5"/>
    </row>
    <row r="591" spans="17:18">
      <c r="R591" s="5"/>
    </row>
    <row r="592" spans="17:18">
      <c r="R592" s="5"/>
    </row>
    <row r="593" spans="17:18">
      <c r="Q593" s="92"/>
      <c r="R593" s="9"/>
    </row>
    <row r="594" spans="17:18">
      <c r="Q594" s="91"/>
      <c r="R594" s="8"/>
    </row>
    <row r="595" spans="17:18">
      <c r="Q595" s="91"/>
      <c r="R595" s="8"/>
    </row>
    <row r="596" spans="17:18">
      <c r="R596" s="5"/>
    </row>
    <row r="597" spans="17:18">
      <c r="R597" s="5"/>
    </row>
    <row r="598" spans="17:18">
      <c r="R598" s="5"/>
    </row>
    <row r="599" spans="17:18">
      <c r="Q599" s="92"/>
      <c r="R599" s="9"/>
    </row>
    <row r="600" spans="17:18">
      <c r="Q600" s="91"/>
      <c r="R600" s="8"/>
    </row>
    <row r="601" spans="17:18">
      <c r="Q601" s="91"/>
      <c r="R601" s="8"/>
    </row>
    <row r="602" spans="17:18">
      <c r="R602" s="5"/>
    </row>
    <row r="603" spans="17:18">
      <c r="R603" s="5"/>
    </row>
    <row r="604" spans="17:18">
      <c r="R604" s="5"/>
    </row>
    <row r="605" spans="17:18">
      <c r="R605" s="5"/>
    </row>
    <row r="606" spans="17:18">
      <c r="R606" s="5"/>
    </row>
    <row r="607" spans="17:18">
      <c r="Q607" s="85"/>
      <c r="R607" s="7"/>
    </row>
    <row r="608" spans="17:18">
      <c r="Q608" s="88"/>
      <c r="R608" s="6"/>
    </row>
    <row r="609" spans="17:18">
      <c r="Q609" s="88"/>
      <c r="R609" s="6"/>
    </row>
    <row r="610" spans="17:18">
      <c r="Q610" s="88"/>
      <c r="R610" s="6"/>
    </row>
    <row r="611" spans="17:18">
      <c r="R611" s="5"/>
    </row>
    <row r="612" spans="17:18">
      <c r="R612" s="5"/>
    </row>
    <row r="613" spans="17:18">
      <c r="R613" s="5"/>
    </row>
    <row r="614" spans="17:18">
      <c r="R614" s="5"/>
    </row>
    <row r="615" spans="17:18">
      <c r="R615" s="5"/>
    </row>
    <row r="616" spans="17:18">
      <c r="R616" s="5"/>
    </row>
    <row r="617" spans="17:18">
      <c r="R617" s="5"/>
    </row>
    <row r="618" spans="17:18">
      <c r="R618" s="5"/>
    </row>
    <row r="619" spans="17:18">
      <c r="R619" s="5"/>
    </row>
    <row r="620" spans="17:18">
      <c r="R620" s="5"/>
    </row>
    <row r="621" spans="17:18">
      <c r="R621" s="5"/>
    </row>
    <row r="622" spans="17:18">
      <c r="R622" s="5"/>
    </row>
    <row r="623" spans="17:18">
      <c r="R623" s="5"/>
    </row>
    <row r="624" spans="17:18">
      <c r="R624" s="5"/>
    </row>
    <row r="625" spans="18:18">
      <c r="R625" s="5"/>
    </row>
    <row r="626" spans="18:18">
      <c r="R626" s="5"/>
    </row>
    <row r="627" spans="18:18">
      <c r="R627" s="5"/>
    </row>
    <row r="628" spans="18:18">
      <c r="R628" s="5"/>
    </row>
    <row r="629" spans="18:18">
      <c r="R629" s="5"/>
    </row>
    <row r="630" spans="18:18">
      <c r="R630" s="5"/>
    </row>
    <row r="631" spans="18:18">
      <c r="R631" s="5"/>
    </row>
    <row r="632" spans="18:18">
      <c r="R632" s="5"/>
    </row>
    <row r="633" spans="18:18">
      <c r="R633" s="5"/>
    </row>
    <row r="634" spans="18:18">
      <c r="R634" s="5"/>
    </row>
    <row r="635" spans="18:18">
      <c r="R635" s="5"/>
    </row>
    <row r="636" spans="18:18">
      <c r="R636" s="5"/>
    </row>
    <row r="637" spans="18:18">
      <c r="R637" s="5"/>
    </row>
    <row r="638" spans="18:18">
      <c r="R638" s="5"/>
    </row>
    <row r="639" spans="18:18">
      <c r="R639" s="5"/>
    </row>
    <row r="640" spans="18:18">
      <c r="R640" s="5"/>
    </row>
    <row r="641" spans="18:18">
      <c r="R641" s="5"/>
    </row>
    <row r="642" spans="18:18">
      <c r="R642" s="5"/>
    </row>
    <row r="643" spans="18:18">
      <c r="R643" s="5"/>
    </row>
    <row r="644" spans="18:18">
      <c r="R644" s="5"/>
    </row>
    <row r="645" spans="18:18">
      <c r="R645" s="5"/>
    </row>
    <row r="646" spans="18:18">
      <c r="R646" s="5"/>
    </row>
    <row r="647" spans="18:18">
      <c r="R647" s="5"/>
    </row>
    <row r="648" spans="18:18">
      <c r="R648" s="5"/>
    </row>
    <row r="649" spans="18:18">
      <c r="R649" s="5"/>
    </row>
    <row r="650" spans="18:18">
      <c r="R650" s="5"/>
    </row>
    <row r="651" spans="18:18">
      <c r="R651" s="5"/>
    </row>
    <row r="652" spans="18:18">
      <c r="R652" s="5"/>
    </row>
    <row r="653" spans="18:18">
      <c r="R653" s="5"/>
    </row>
    <row r="654" spans="18:18">
      <c r="R654" s="5"/>
    </row>
    <row r="655" spans="18:18">
      <c r="R655" s="5"/>
    </row>
    <row r="656" spans="18:18">
      <c r="R656" s="5"/>
    </row>
    <row r="657" spans="18:18">
      <c r="R657" s="5"/>
    </row>
    <row r="658" spans="18:18">
      <c r="R658" s="5"/>
    </row>
    <row r="659" spans="18:18">
      <c r="R659" s="5"/>
    </row>
    <row r="660" spans="18:18">
      <c r="R660" s="5"/>
    </row>
    <row r="661" spans="18:18">
      <c r="R661" s="5"/>
    </row>
    <row r="662" spans="18:18">
      <c r="R662" s="5"/>
    </row>
    <row r="663" spans="18:18">
      <c r="R663" s="5"/>
    </row>
    <row r="664" spans="18:18">
      <c r="R664" s="5"/>
    </row>
    <row r="665" spans="18:18">
      <c r="R665" s="5"/>
    </row>
    <row r="666" spans="18:18">
      <c r="R666" s="5"/>
    </row>
    <row r="667" spans="18:18">
      <c r="R667" s="5"/>
    </row>
    <row r="668" spans="18:18">
      <c r="R668" s="5"/>
    </row>
    <row r="669" spans="18:18">
      <c r="R669" s="5"/>
    </row>
    <row r="670" spans="18:18">
      <c r="R670" s="5"/>
    </row>
    <row r="671" spans="18:18">
      <c r="R671" s="5"/>
    </row>
    <row r="672" spans="18:18">
      <c r="R672" s="5"/>
    </row>
    <row r="673" spans="18:18">
      <c r="R673" s="5"/>
    </row>
    <row r="674" spans="18:18">
      <c r="R674" s="5"/>
    </row>
    <row r="675" spans="18:18">
      <c r="R675" s="5"/>
    </row>
    <row r="676" spans="18:18">
      <c r="R676" s="5"/>
    </row>
    <row r="677" spans="18:18">
      <c r="R677" s="5"/>
    </row>
    <row r="678" spans="18:18">
      <c r="R678" s="5"/>
    </row>
    <row r="679" spans="18:18">
      <c r="R679" s="5"/>
    </row>
    <row r="680" spans="18:18">
      <c r="R680" s="5"/>
    </row>
    <row r="681" spans="18:18">
      <c r="R681" s="5"/>
    </row>
    <row r="682" spans="18:18">
      <c r="R682" s="5"/>
    </row>
    <row r="683" spans="18:18">
      <c r="R683" s="5"/>
    </row>
    <row r="684" spans="18:18">
      <c r="R684" s="5"/>
    </row>
  </sheetData>
  <sheetProtection sheet="1" objects="1" scenarios="1" autoFilter="0"/>
  <autoFilter ref="A8:EH514" xr:uid="{E7B67F2E-DFBD-4076-9CD4-4A030127A022}">
    <filterColumn colId="0">
      <filters blank="1">
        <filter val="1"/>
        <filter val="10"/>
        <filter val="11"/>
        <filter val="12"/>
        <filter val="13"/>
        <filter val="14"/>
        <filter val="15"/>
        <filter val="16"/>
        <filter val="17"/>
        <filter val="18"/>
        <filter val="19"/>
        <filter val="2"/>
        <filter val="20"/>
        <filter val="21"/>
        <filter val="22"/>
        <filter val="23"/>
        <filter val="24"/>
        <filter val="25"/>
        <filter val="26"/>
        <filter val="27"/>
        <filter val="28"/>
        <filter val="29"/>
        <filter val="3"/>
        <filter val="30"/>
        <filter val="31"/>
        <filter val="32"/>
        <filter val="33"/>
        <filter val="34"/>
        <filter val="35"/>
        <filter val="36"/>
        <filter val="37"/>
        <filter val="38"/>
        <filter val="39"/>
        <filter val="4"/>
        <filter val="40"/>
        <filter val="41"/>
        <filter val="42"/>
        <filter val="43"/>
        <filter val="44"/>
        <filter val="45"/>
        <filter val="46"/>
        <filter val="47"/>
        <filter val="48"/>
        <filter val="49"/>
        <filter val="5"/>
        <filter val="50"/>
        <filter val="51"/>
        <filter val="52"/>
        <filter val="53"/>
        <filter val="54"/>
        <filter val="55"/>
        <filter val="56"/>
        <filter val="57"/>
        <filter val="58"/>
        <filter val="59"/>
        <filter val="6"/>
        <filter val="60"/>
        <filter val="61"/>
        <filter val="62"/>
        <filter val="63"/>
        <filter val="64"/>
        <filter val="65"/>
        <filter val="66"/>
        <filter val="67"/>
        <filter val="68"/>
        <filter val="69"/>
        <filter val="7"/>
        <filter val="70"/>
        <filter val="8"/>
        <filter val="9"/>
      </filters>
    </filterColumn>
  </autoFilter>
  <mergeCells count="32">
    <mergeCell ref="D514:O514"/>
    <mergeCell ref="R2:W7"/>
    <mergeCell ref="L3:M3"/>
    <mergeCell ref="E6:E7"/>
    <mergeCell ref="F6:F7"/>
    <mergeCell ref="G6:G7"/>
    <mergeCell ref="H6:H7"/>
    <mergeCell ref="J6:J8"/>
    <mergeCell ref="E511:I511"/>
    <mergeCell ref="K511:O511"/>
    <mergeCell ref="K1:P1"/>
    <mergeCell ref="N3:O3"/>
    <mergeCell ref="D512:I512"/>
    <mergeCell ref="J512:O512"/>
    <mergeCell ref="D513:O513"/>
    <mergeCell ref="I1:J1"/>
    <mergeCell ref="B6:B8"/>
    <mergeCell ref="B5:P5"/>
    <mergeCell ref="R1:W1"/>
    <mergeCell ref="D510:O510"/>
    <mergeCell ref="D2:G2"/>
    <mergeCell ref="D3:G3"/>
    <mergeCell ref="I6:I7"/>
    <mergeCell ref="O7:O8"/>
    <mergeCell ref="N7:N8"/>
    <mergeCell ref="M6:O6"/>
    <mergeCell ref="J2:O2"/>
    <mergeCell ref="J3:K3"/>
    <mergeCell ref="L6:L7"/>
    <mergeCell ref="K6:K7"/>
    <mergeCell ref="P6:P8"/>
    <mergeCell ref="D6:D8"/>
  </mergeCells>
  <dataValidations count="3">
    <dataValidation type="list" allowBlank="1" showInputMessage="1" showErrorMessage="1" sqref="M8" xr:uid="{D0C2113E-4BDD-4F9B-AFAB-C92CA2BCC280}">
      <formula1>"7 ans, 10 ans, 12 ans, 15 ans, 20 ans (perf. globale)"</formula1>
    </dataValidation>
    <dataValidation type="list" allowBlank="1" showInputMessage="1" showErrorMessage="1" sqref="P9:P508 J9:J508" xr:uid="{D2C6617F-3AD4-4EED-AB6E-EC264E3A5AFC}">
      <formula1>"OUI, NON"</formula1>
    </dataValidation>
    <dataValidation type="list" allowBlank="1" showInputMessage="1" showErrorMessage="1" sqref="O9:O508" xr:uid="{5EED6A03-505D-4873-BC33-F97ABB43687F}">
      <formula1>"3 ans, 5 ans, 7 ans, 10 ans, 12 ans, 15 ans, 20 ans"</formula1>
    </dataValidation>
  </dataValidations>
  <printOptions horizontalCentered="1"/>
  <pageMargins left="0.23622047244094491" right="0.23622047244094491" top="0.59055118110236227" bottom="0.74803149606299213" header="0.31496062992125984" footer="0.31496062992125984"/>
  <pageSetup paperSize="9" scale="36" fitToHeight="0" orientation="portrait" r:id="rId1"/>
  <headerFooter>
    <oddHeader>Page &amp;P de &amp;N</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3614C-2964-4748-B463-F49A3EB515C8}">
  <sheetPr>
    <tabColor theme="9" tint="0.39997558519241921"/>
    <pageSetUpPr fitToPage="1"/>
  </sheetPr>
  <dimension ref="A1:N37"/>
  <sheetViews>
    <sheetView showGridLines="0" topLeftCell="A17" zoomScale="85" zoomScaleNormal="85" workbookViewId="0">
      <selection activeCell="K19" sqref="K19"/>
    </sheetView>
  </sheetViews>
  <sheetFormatPr defaultColWidth="11.42578125" defaultRowHeight="13.15"/>
  <cols>
    <col min="1" max="1" width="38.7109375" style="130" bestFit="1" customWidth="1"/>
    <col min="2" max="2" width="15.28515625" style="122" bestFit="1" customWidth="1"/>
    <col min="3" max="3" width="15.7109375" style="124" bestFit="1" customWidth="1"/>
    <col min="4" max="4" width="14.42578125" style="124" bestFit="1" customWidth="1"/>
    <col min="5" max="5" width="14.7109375" style="124" bestFit="1" customWidth="1"/>
    <col min="6" max="8" width="16.28515625" style="128" customWidth="1"/>
    <col min="9" max="9" width="2" style="122" customWidth="1"/>
    <col min="10" max="10" width="50.7109375" style="130" customWidth="1"/>
    <col min="11" max="11" width="16.7109375" style="122" customWidth="1"/>
    <col min="12" max="12" width="2.5703125" style="122" customWidth="1"/>
    <col min="13" max="16384" width="11.42578125" style="122"/>
  </cols>
  <sheetData>
    <row r="1" spans="1:14" ht="40.9" customHeight="1">
      <c r="A1" s="426" t="s">
        <v>127</v>
      </c>
      <c r="B1" s="426"/>
      <c r="C1" s="426"/>
      <c r="D1" s="426"/>
      <c r="E1" s="426"/>
      <c r="F1" s="426"/>
      <c r="G1" s="250"/>
      <c r="H1" s="250"/>
      <c r="I1" s="145"/>
      <c r="J1" s="142" t="s">
        <v>128</v>
      </c>
      <c r="K1" s="143"/>
      <c r="L1" s="146"/>
      <c r="M1" s="74"/>
      <c r="N1" s="125"/>
    </row>
    <row r="2" spans="1:14" ht="37.15" customHeight="1">
      <c r="A2" s="147" t="s">
        <v>129</v>
      </c>
      <c r="B2" s="427">
        <f>'LISTE COPROPRIETAIRES ADHERENTS'!D3</f>
        <v>0</v>
      </c>
      <c r="C2" s="427"/>
      <c r="D2" s="427"/>
      <c r="E2" s="427"/>
      <c r="F2" s="427"/>
      <c r="G2" s="251"/>
      <c r="H2" s="251"/>
      <c r="I2" s="148"/>
      <c r="J2" s="142" t="s">
        <v>130</v>
      </c>
      <c r="K2" s="144"/>
      <c r="L2" s="148"/>
    </row>
    <row r="3" spans="1:14" ht="16.149999999999999" customHeight="1">
      <c r="A3" s="149"/>
      <c r="B3" s="150"/>
      <c r="C3" s="150"/>
      <c r="D3" s="150"/>
      <c r="E3" s="150"/>
      <c r="F3" s="150"/>
      <c r="G3" s="150"/>
      <c r="H3" s="150"/>
      <c r="I3" s="150"/>
      <c r="J3" s="150"/>
      <c r="K3" s="150"/>
      <c r="L3" s="150"/>
    </row>
    <row r="4" spans="1:14" ht="32.25" customHeight="1">
      <c r="A4" s="438" t="s">
        <v>131</v>
      </c>
      <c r="B4" s="439"/>
      <c r="C4" s="439"/>
      <c r="D4" s="439"/>
      <c r="E4" s="440"/>
      <c r="F4" s="151" t="s">
        <v>132</v>
      </c>
      <c r="G4" s="424" t="s">
        <v>133</v>
      </c>
      <c r="H4" s="424" t="s">
        <v>134</v>
      </c>
      <c r="I4" s="152"/>
      <c r="J4" s="153" t="s">
        <v>135</v>
      </c>
      <c r="K4" s="151" t="s">
        <v>132</v>
      </c>
      <c r="L4" s="154"/>
    </row>
    <row r="5" spans="1:14" s="126" customFormat="1" ht="31.5" customHeight="1">
      <c r="A5" s="153" t="s">
        <v>136</v>
      </c>
      <c r="B5" s="155" t="s">
        <v>137</v>
      </c>
      <c r="C5" s="156" t="s">
        <v>138</v>
      </c>
      <c r="D5" s="156" t="s">
        <v>139</v>
      </c>
      <c r="E5" s="157" t="s">
        <v>140</v>
      </c>
      <c r="F5" s="158"/>
      <c r="G5" s="425"/>
      <c r="H5" s="425"/>
      <c r="I5" s="152"/>
      <c r="J5" s="153" t="s">
        <v>141</v>
      </c>
      <c r="K5" s="159"/>
      <c r="L5" s="160"/>
    </row>
    <row r="6" spans="1:14" ht="25.15" customHeight="1">
      <c r="A6" s="246" t="s">
        <v>142</v>
      </c>
      <c r="B6" s="247"/>
      <c r="C6" s="137">
        <v>100000</v>
      </c>
      <c r="D6" s="71" t="s">
        <v>143</v>
      </c>
      <c r="E6" s="233"/>
      <c r="F6" s="137">
        <v>100000</v>
      </c>
      <c r="G6" s="137">
        <v>100000</v>
      </c>
      <c r="H6" s="137">
        <v>90000</v>
      </c>
      <c r="I6" s="71"/>
      <c r="J6" s="70" t="s">
        <v>144</v>
      </c>
      <c r="K6" s="139">
        <v>10000</v>
      </c>
      <c r="L6" s="121"/>
    </row>
    <row r="7" spans="1:14" ht="25.15" customHeight="1">
      <c r="A7" s="246"/>
      <c r="B7" s="247"/>
      <c r="C7" s="137"/>
      <c r="D7" s="71"/>
      <c r="E7" s="233"/>
      <c r="F7" s="137"/>
      <c r="G7" s="137"/>
      <c r="H7" s="137"/>
      <c r="I7" s="71"/>
      <c r="J7" s="70" t="s">
        <v>145</v>
      </c>
      <c r="K7" s="139">
        <v>5000</v>
      </c>
      <c r="L7" s="121"/>
    </row>
    <row r="8" spans="1:14" ht="25.15" customHeight="1">
      <c r="A8" s="246"/>
      <c r="B8" s="247"/>
      <c r="C8" s="137"/>
      <c r="D8" s="71"/>
      <c r="E8" s="233"/>
      <c r="F8" s="137"/>
      <c r="G8" s="137"/>
      <c r="H8" s="137"/>
      <c r="I8" s="71"/>
      <c r="J8" s="70" t="s">
        <v>146</v>
      </c>
      <c r="K8" s="139">
        <v>5000</v>
      </c>
      <c r="L8" s="121"/>
    </row>
    <row r="9" spans="1:14" ht="25.15" customHeight="1">
      <c r="A9" s="246"/>
      <c r="B9" s="247"/>
      <c r="C9" s="137"/>
      <c r="D9" s="71"/>
      <c r="E9" s="249"/>
      <c r="F9" s="137"/>
      <c r="G9" s="137"/>
      <c r="H9" s="137"/>
      <c r="I9" s="71"/>
      <c r="J9" s="70" t="s">
        <v>147</v>
      </c>
      <c r="K9" s="139"/>
      <c r="L9" s="121"/>
    </row>
    <row r="10" spans="1:14" ht="25.15" customHeight="1">
      <c r="A10" s="246"/>
      <c r="B10" s="247"/>
      <c r="C10" s="137"/>
      <c r="D10" s="71"/>
      <c r="E10" s="233"/>
      <c r="F10" s="137"/>
      <c r="G10" s="137"/>
      <c r="H10" s="137"/>
      <c r="I10" s="71"/>
      <c r="J10" s="70"/>
      <c r="K10" s="139"/>
      <c r="L10" s="121"/>
    </row>
    <row r="11" spans="1:14" ht="25.15" customHeight="1">
      <c r="A11" s="246"/>
      <c r="B11" s="247"/>
      <c r="C11" s="137"/>
      <c r="D11" s="71"/>
      <c r="E11" s="233"/>
      <c r="F11" s="137"/>
      <c r="G11" s="137"/>
      <c r="H11" s="137"/>
      <c r="I11" s="71"/>
      <c r="J11" s="70"/>
      <c r="K11" s="139"/>
      <c r="L11" s="121"/>
    </row>
    <row r="12" spans="1:14" ht="25.15" customHeight="1">
      <c r="A12" s="246"/>
      <c r="B12" s="247"/>
      <c r="C12" s="137"/>
      <c r="D12" s="71"/>
      <c r="E12" s="233"/>
      <c r="F12" s="137"/>
      <c r="G12" s="137"/>
      <c r="H12" s="137"/>
      <c r="I12" s="71"/>
      <c r="J12" s="70"/>
      <c r="K12" s="139"/>
      <c r="L12" s="121"/>
    </row>
    <row r="13" spans="1:14" ht="25.15" customHeight="1">
      <c r="A13" s="246"/>
      <c r="B13" s="247"/>
      <c r="C13" s="137"/>
      <c r="D13" s="71"/>
      <c r="E13" s="233"/>
      <c r="F13" s="137"/>
      <c r="G13" s="137"/>
      <c r="H13" s="137"/>
      <c r="I13" s="71"/>
      <c r="J13" s="70"/>
      <c r="K13" s="139"/>
      <c r="L13" s="121"/>
    </row>
    <row r="14" spans="1:14" ht="25.15" customHeight="1">
      <c r="A14" s="246"/>
      <c r="B14" s="247"/>
      <c r="C14" s="137"/>
      <c r="D14" s="71"/>
      <c r="E14" s="233"/>
      <c r="F14" s="137"/>
      <c r="G14" s="137"/>
      <c r="H14" s="137"/>
      <c r="I14" s="71"/>
      <c r="J14" s="70"/>
      <c r="K14" s="139"/>
      <c r="L14" s="121"/>
    </row>
    <row r="15" spans="1:14" ht="25.15" customHeight="1">
      <c r="A15" s="70"/>
      <c r="B15" s="71"/>
      <c r="C15" s="137"/>
      <c r="D15" s="71"/>
      <c r="E15" s="233"/>
      <c r="F15" s="137"/>
      <c r="G15" s="137"/>
      <c r="H15" s="137"/>
      <c r="I15" s="71"/>
      <c r="J15" s="70"/>
      <c r="K15" s="139"/>
      <c r="L15" s="121"/>
    </row>
    <row r="16" spans="1:14" ht="25.15" customHeight="1">
      <c r="A16" s="70"/>
      <c r="B16" s="71"/>
      <c r="C16" s="137"/>
      <c r="D16" s="71"/>
      <c r="E16" s="233"/>
      <c r="F16" s="137"/>
      <c r="G16" s="137"/>
      <c r="H16" s="137"/>
      <c r="I16" s="71"/>
      <c r="J16" s="70"/>
      <c r="K16" s="139"/>
      <c r="L16" s="121"/>
    </row>
    <row r="17" spans="1:12" ht="25.15" customHeight="1">
      <c r="A17" s="70"/>
      <c r="B17" s="71"/>
      <c r="C17" s="137"/>
      <c r="D17" s="71"/>
      <c r="E17" s="233"/>
      <c r="F17" s="137"/>
      <c r="G17" s="137"/>
      <c r="H17" s="137"/>
      <c r="I17" s="71"/>
      <c r="J17" s="70"/>
      <c r="K17" s="139"/>
      <c r="L17" s="121"/>
    </row>
    <row r="18" spans="1:12" ht="30.75" customHeight="1" thickBot="1">
      <c r="A18" s="245"/>
      <c r="B18" s="69"/>
      <c r="C18" s="138"/>
      <c r="D18" s="69"/>
      <c r="E18" s="234"/>
      <c r="F18" s="138"/>
      <c r="G18" s="138"/>
      <c r="H18" s="138"/>
      <c r="I18" s="69"/>
      <c r="J18" s="70"/>
      <c r="K18" s="139"/>
      <c r="L18" s="123"/>
    </row>
    <row r="19" spans="1:12" ht="27.75" customHeight="1">
      <c r="A19" s="161" t="s">
        <v>148</v>
      </c>
      <c r="B19" s="162"/>
      <c r="C19" s="163">
        <f>SUM(C6:C18)</f>
        <v>100000</v>
      </c>
      <c r="D19" s="430"/>
      <c r="E19" s="431"/>
      <c r="F19" s="163">
        <f>SUM(F6:F18)</f>
        <v>100000</v>
      </c>
      <c r="G19" s="163">
        <f>SUM(G6:G18)</f>
        <v>100000</v>
      </c>
      <c r="H19" s="163">
        <f>SUM(H6:H18)</f>
        <v>90000</v>
      </c>
      <c r="I19" s="164"/>
      <c r="J19" s="165" t="s">
        <v>149</v>
      </c>
      <c r="K19" s="166">
        <f>SUM(K6:K18)</f>
        <v>20000</v>
      </c>
      <c r="L19" s="167"/>
    </row>
    <row r="20" spans="1:12" s="126" customFormat="1" ht="30.75" customHeight="1" thickBot="1">
      <c r="A20" s="168" t="s">
        <v>150</v>
      </c>
      <c r="B20" s="428"/>
      <c r="C20" s="429"/>
      <c r="D20" s="429"/>
      <c r="E20" s="429"/>
      <c r="F20" s="429"/>
      <c r="G20" s="252"/>
      <c r="H20" s="252"/>
      <c r="I20" s="169"/>
      <c r="J20" s="170" t="s">
        <v>151</v>
      </c>
      <c r="K20" s="171"/>
      <c r="L20" s="172"/>
    </row>
    <row r="21" spans="1:12" ht="25.15" customHeight="1">
      <c r="A21" s="70" t="s">
        <v>152</v>
      </c>
      <c r="B21" s="72"/>
      <c r="C21" s="140"/>
      <c r="D21" s="72"/>
      <c r="E21" s="248"/>
      <c r="F21" s="120"/>
      <c r="G21" s="120"/>
      <c r="H21" s="120"/>
      <c r="I21" s="72"/>
      <c r="J21" s="73" t="s">
        <v>153</v>
      </c>
      <c r="K21" s="173">
        <f>F31-K19-SUM(K22:K29)</f>
        <v>64000</v>
      </c>
      <c r="L21" s="182"/>
    </row>
    <row r="22" spans="1:12" ht="25.15" customHeight="1">
      <c r="A22" s="73" t="s">
        <v>154</v>
      </c>
      <c r="B22" s="71"/>
      <c r="C22" s="137"/>
      <c r="D22" s="71"/>
      <c r="E22" s="233"/>
      <c r="F22" s="119"/>
      <c r="G22" s="119"/>
      <c r="H22" s="119"/>
      <c r="I22" s="71"/>
      <c r="J22" s="70" t="s">
        <v>155</v>
      </c>
      <c r="K22" s="174">
        <f>'LISTE COPROPRIETAIRES ADHERENTS'!M509</f>
        <v>8000</v>
      </c>
      <c r="L22" s="121"/>
    </row>
    <row r="23" spans="1:12" ht="25.15" customHeight="1">
      <c r="A23" s="70" t="s">
        <v>156</v>
      </c>
      <c r="B23" s="71"/>
      <c r="C23" s="137"/>
      <c r="D23" s="71"/>
      <c r="E23" s="233"/>
      <c r="F23" s="119"/>
      <c r="G23" s="119"/>
      <c r="H23" s="119"/>
      <c r="I23" s="71"/>
      <c r="J23" s="70" t="s">
        <v>157</v>
      </c>
      <c r="K23" s="174">
        <f>'LISTE COPROPRIETAIRES ADHERENTS'!N509</f>
        <v>8000</v>
      </c>
      <c r="L23" s="121"/>
    </row>
    <row r="24" spans="1:12" ht="25.15" customHeight="1">
      <c r="A24" s="70" t="s">
        <v>158</v>
      </c>
      <c r="B24" s="71"/>
      <c r="C24" s="137"/>
      <c r="D24" s="71"/>
      <c r="E24" s="233"/>
      <c r="F24" s="119"/>
      <c r="G24" s="119"/>
      <c r="H24" s="119"/>
      <c r="I24" s="71"/>
      <c r="J24" s="70" t="s">
        <v>159</v>
      </c>
      <c r="K24" s="139"/>
      <c r="L24" s="121"/>
    </row>
    <row r="25" spans="1:12" ht="25.15" customHeight="1">
      <c r="A25" s="70" t="s">
        <v>160</v>
      </c>
      <c r="B25" s="71"/>
      <c r="C25" s="137"/>
      <c r="D25" s="71"/>
      <c r="E25" s="233"/>
      <c r="F25" s="119"/>
      <c r="G25" s="119"/>
      <c r="H25" s="119"/>
      <c r="I25" s="71"/>
      <c r="J25" s="70"/>
      <c r="K25" s="139"/>
      <c r="L25" s="121"/>
    </row>
    <row r="26" spans="1:12" ht="25.15" customHeight="1">
      <c r="A26" s="244" t="s">
        <v>161</v>
      </c>
      <c r="B26" s="71"/>
      <c r="C26" s="137"/>
      <c r="D26" s="71"/>
      <c r="E26" s="233"/>
      <c r="F26" s="119"/>
      <c r="G26" s="119"/>
      <c r="H26" s="119"/>
      <c r="I26" s="71"/>
      <c r="J26" s="70"/>
      <c r="K26" s="139"/>
      <c r="L26" s="121"/>
    </row>
    <row r="27" spans="1:12" ht="25.15" customHeight="1">
      <c r="A27" s="70" t="s">
        <v>162</v>
      </c>
      <c r="B27" s="71"/>
      <c r="C27" s="137"/>
      <c r="D27" s="71"/>
      <c r="E27" s="233"/>
      <c r="F27" s="119"/>
      <c r="G27" s="119"/>
      <c r="H27" s="119"/>
      <c r="I27" s="71"/>
      <c r="J27" s="70"/>
      <c r="K27" s="139"/>
      <c r="L27" s="121"/>
    </row>
    <row r="28" spans="1:12" ht="25.15" customHeight="1">
      <c r="A28" s="245"/>
      <c r="B28" s="69"/>
      <c r="C28" s="138"/>
      <c r="D28" s="71"/>
      <c r="E28" s="71"/>
      <c r="F28" s="119"/>
      <c r="G28" s="253"/>
      <c r="H28" s="253"/>
      <c r="I28" s="69"/>
      <c r="J28" s="245"/>
      <c r="K28" s="141"/>
      <c r="L28" s="123"/>
    </row>
    <row r="29" spans="1:12" ht="25.15" customHeight="1" thickBot="1">
      <c r="A29" s="245"/>
      <c r="B29" s="69"/>
      <c r="C29" s="138"/>
      <c r="D29" s="71"/>
      <c r="E29" s="233"/>
      <c r="F29" s="119"/>
      <c r="G29" s="253"/>
      <c r="H29" s="253"/>
      <c r="I29" s="69"/>
      <c r="J29" s="68"/>
      <c r="K29" s="141"/>
      <c r="L29" s="123"/>
    </row>
    <row r="30" spans="1:12" ht="27" customHeight="1">
      <c r="A30" s="161" t="s">
        <v>163</v>
      </c>
      <c r="B30" s="436"/>
      <c r="C30" s="163">
        <f>SUM(C21:C29)</f>
        <v>0</v>
      </c>
      <c r="D30" s="432"/>
      <c r="E30" s="433"/>
      <c r="F30" s="175">
        <f>SUM(F21:F29)</f>
        <v>0</v>
      </c>
      <c r="G30" s="175">
        <f>SUM(G21:G29)</f>
        <v>0</v>
      </c>
      <c r="H30" s="175">
        <f>SUM(H21:H29)</f>
        <v>0</v>
      </c>
      <c r="I30" s="164"/>
      <c r="J30" s="176" t="s">
        <v>164</v>
      </c>
      <c r="K30" s="166">
        <f>SUM(K21:K29)</f>
        <v>80000</v>
      </c>
      <c r="L30" s="167"/>
    </row>
    <row r="31" spans="1:12" ht="29.25" customHeight="1" thickBot="1">
      <c r="A31" s="177" t="s">
        <v>165</v>
      </c>
      <c r="B31" s="437"/>
      <c r="C31" s="178">
        <f>C30+C19</f>
        <v>100000</v>
      </c>
      <c r="D31" s="434"/>
      <c r="E31" s="435"/>
      <c r="F31" s="179">
        <f>F30+F19</f>
        <v>100000</v>
      </c>
      <c r="G31" s="179">
        <f>G19+G30</f>
        <v>100000</v>
      </c>
      <c r="H31" s="179">
        <f>H19+H30</f>
        <v>90000</v>
      </c>
      <c r="I31" s="169"/>
      <c r="J31" s="170" t="s">
        <v>166</v>
      </c>
      <c r="K31" s="180">
        <f>K19+K30</f>
        <v>100000</v>
      </c>
      <c r="L31" s="172"/>
    </row>
    <row r="33" spans="1:9" ht="14.65" customHeight="1">
      <c r="A33" s="181" t="s">
        <v>167</v>
      </c>
      <c r="B33" s="127"/>
      <c r="C33" s="127"/>
      <c r="I33" s="129"/>
    </row>
    <row r="34" spans="1:9" ht="10.15" customHeight="1">
      <c r="A34" s="127"/>
      <c r="B34" s="127"/>
      <c r="C34" s="127"/>
      <c r="I34" s="129"/>
    </row>
    <row r="35" spans="1:9" ht="10.15" customHeight="1">
      <c r="A35" s="127"/>
      <c r="B35" s="127"/>
      <c r="C35" s="127"/>
      <c r="I35" s="129"/>
    </row>
    <row r="36" spans="1:9" ht="10.15" customHeight="1">
      <c r="A36" s="127"/>
      <c r="B36" s="127"/>
      <c r="C36" s="127"/>
      <c r="I36" s="129"/>
    </row>
    <row r="37" spans="1:9" ht="10.15" customHeight="1">
      <c r="A37" s="127"/>
      <c r="B37" s="127"/>
      <c r="C37" s="127"/>
      <c r="I37" s="129"/>
    </row>
  </sheetData>
  <sheetProtection algorithmName="SHA-512" hashValue="jlj98zeUvM+ZG5EkhwEXrF0tJFzv2UhsLNCDZCPi1q1afrAfv9iETm71vaQT8S5TW/H1FKBbcf3RuNscfg2cwQ==" saltValue="g0z5Y9TPyekX5Aa8OAzFTg==" spinCount="100000" sheet="1" insertColumns="0" insertRows="0"/>
  <mergeCells count="9">
    <mergeCell ref="D30:E31"/>
    <mergeCell ref="B30:B31"/>
    <mergeCell ref="A4:E4"/>
    <mergeCell ref="G4:G5"/>
    <mergeCell ref="H4:H5"/>
    <mergeCell ref="A1:F1"/>
    <mergeCell ref="B2:F2"/>
    <mergeCell ref="B20:F20"/>
    <mergeCell ref="D19:E19"/>
  </mergeCells>
  <printOptions horizontalCentered="1" verticalCentered="1"/>
  <pageMargins left="0.25" right="0.25" top="0.75" bottom="0.75" header="0.3" footer="0.3"/>
  <pageSetup paperSize="9" scale="54" orientation="landscape" r:id="rId1"/>
  <headerFooter alignWithMargins="0">
    <oddFooter>&amp;C&amp;D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36B2DCF186BB45A42ACE1EE78DEAC0" ma:contentTypeVersion="12" ma:contentTypeDescription="Create a new document." ma:contentTypeScope="" ma:versionID="82d8ce1cf4aff1eb7a4a019e7f72403d">
  <xsd:schema xmlns:xsd="http://www.w3.org/2001/XMLSchema" xmlns:xs="http://www.w3.org/2001/XMLSchema" xmlns:p="http://schemas.microsoft.com/office/2006/metadata/properties" xmlns:ns2="d4cef5cd-1052-4589-b4a0-7fb7ff5d9a2e" xmlns:ns3="e159c28a-ba27-4c9c-8a0d-c51bff163837" targetNamespace="http://schemas.microsoft.com/office/2006/metadata/properties" ma:root="true" ma:fieldsID="d9edebd44c17c5c67d13f42b66e5bb41" ns2:_="" ns3:_="">
    <xsd:import namespace="d4cef5cd-1052-4589-b4a0-7fb7ff5d9a2e"/>
    <xsd:import namespace="e159c28a-ba27-4c9c-8a0d-c51bff1638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cef5cd-1052-4589-b4a0-7fb7ff5d9a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159c28a-ba27-4c9c-8a0d-c51bff16383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c52eb4dc-0ef3-4aa8-8e03-025dbf6c8637" ContentTypeId="0x0101" PreviousValue="false"/>
</file>

<file path=customXml/itemProps1.xml><?xml version="1.0" encoding="utf-8"?>
<ds:datastoreItem xmlns:ds="http://schemas.openxmlformats.org/officeDocument/2006/customXml" ds:itemID="{BB6E469B-F7C2-4011-A283-6EBDADC64326}"/>
</file>

<file path=customXml/itemProps2.xml><?xml version="1.0" encoding="utf-8"?>
<ds:datastoreItem xmlns:ds="http://schemas.openxmlformats.org/officeDocument/2006/customXml" ds:itemID="{4B0DE3E2-9EFE-46B5-8ACC-725EA0CB8053}"/>
</file>

<file path=customXml/itemProps3.xml><?xml version="1.0" encoding="utf-8"?>
<ds:datastoreItem xmlns:ds="http://schemas.openxmlformats.org/officeDocument/2006/customXml" ds:itemID="{DEDA54F5-F752-4888-B00C-610B4749D1EE}"/>
</file>

<file path=customXml/itemProps4.xml><?xml version="1.0" encoding="utf-8"?>
<ds:datastoreItem xmlns:ds="http://schemas.openxmlformats.org/officeDocument/2006/customXml" ds:itemID="{B8A7ED46-7F35-4DD6-9A56-EF898DBF04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A7501809</dc:creator>
  <cp:keywords/>
  <dc:description/>
  <cp:lastModifiedBy>CAVELIER Jerome [CEGEE]</cp:lastModifiedBy>
  <cp:revision/>
  <dcterms:created xsi:type="dcterms:W3CDTF">2023-01-13T16:16:21Z</dcterms:created>
  <dcterms:modified xsi:type="dcterms:W3CDTF">2025-06-10T08:00:50Z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a19f0c-bea1-442e-a475-ed109d9ec508_Enabled">
    <vt:lpwstr>true</vt:lpwstr>
  </property>
  <property fmtid="{D5CDD505-2E9C-101B-9397-08002B2CF9AE}" pid="3" name="MSIP_Label_48a19f0c-bea1-442e-a475-ed109d9ec508_SetDate">
    <vt:lpwstr>2023-01-13T16:16:22Z</vt:lpwstr>
  </property>
  <property fmtid="{D5CDD505-2E9C-101B-9397-08002B2CF9AE}" pid="4" name="MSIP_Label_48a19f0c-bea1-442e-a475-ed109d9ec508_Method">
    <vt:lpwstr>Standard</vt:lpwstr>
  </property>
  <property fmtid="{D5CDD505-2E9C-101B-9397-08002B2CF9AE}" pid="5" name="MSIP_Label_48a19f0c-bea1-442e-a475-ed109d9ec508_Name">
    <vt:lpwstr>48a19f0c-bea1-442e-a475-ed109d9ec508</vt:lpwstr>
  </property>
  <property fmtid="{D5CDD505-2E9C-101B-9397-08002B2CF9AE}" pid="6" name="MSIP_Label_48a19f0c-bea1-442e-a475-ed109d9ec508_SiteId">
    <vt:lpwstr>d5bb6d35-8a82-4329-b49a-5030bd6497ab</vt:lpwstr>
  </property>
  <property fmtid="{D5CDD505-2E9C-101B-9397-08002B2CF9AE}" pid="7" name="MSIP_Label_48a19f0c-bea1-442e-a475-ed109d9ec508_ActionId">
    <vt:lpwstr>79143ef0-08b9-4523-b4b1-0b7ba2911e2b</vt:lpwstr>
  </property>
  <property fmtid="{D5CDD505-2E9C-101B-9397-08002B2CF9AE}" pid="8" name="MSIP_Label_48a19f0c-bea1-442e-a475-ed109d9ec508_ContentBits">
    <vt:lpwstr>0</vt:lpwstr>
  </property>
  <property fmtid="{D5CDD505-2E9C-101B-9397-08002B2CF9AE}" pid="9" name="ContentTypeId">
    <vt:lpwstr>0x0101000636B2DCF186BB45A42ACE1EE78DEAC0</vt:lpwstr>
  </property>
</Properties>
</file>